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1"/>
  <workbookPr hidePivotFieldList="1" defaultThemeVersion="166925"/>
  <mc:AlternateContent xmlns:mc="http://schemas.openxmlformats.org/markup-compatibility/2006">
    <mc:Choice Requires="x15">
      <x15ac:absPath xmlns:x15ac="http://schemas.microsoft.com/office/spreadsheetml/2010/11/ac" url="https://sap.sharepoint.com/teams/ProcurementIAC/Shared Documents/Team Meetings and Regional Collateral/LAC/Customer Assets/LAC SOUTH/Alicorp/"/>
    </mc:Choice>
  </mc:AlternateContent>
  <xr:revisionPtr revIDLastSave="401" documentId="13_ncr:1_{966040DE-C8A4-614D-8C94-36E17B324149}" xr6:coauthVersionLast="46" xr6:coauthVersionMax="46" xr10:uidLastSave="{A3BAF35D-472A-FB40-84CE-395610D482C9}"/>
  <bookViews>
    <workbookView xWindow="-34620" yWindow="4660" windowWidth="30720" windowHeight="17660" tabRatio="721" xr2:uid="{DCDDE244-3089-4362-8690-8367E767E36F}"/>
  </bookViews>
  <sheets>
    <sheet name="Observations" sheetId="1" r:id="rId1"/>
    <sheet name="Attachments" sheetId="4" state="hidden" r:id="rId2"/>
    <sheet name="Solution" sheetId="5" r:id="rId3"/>
    <sheet name="Impact" sheetId="6" r:id="rId4"/>
    <sheet name="Timeline" sheetId="8" r:id="rId5"/>
    <sheet name="Owner" sheetId="15" r:id="rId6"/>
    <sheet name="Priority" sheetId="12" r:id="rId7"/>
    <sheet name="Category" sheetId="9" r:id="rId8"/>
    <sheet name="12KeysToSucess" sheetId="10" r:id="rId9"/>
    <sheet name="Validations" sheetId="3" r:id="rId10"/>
  </sheets>
  <definedNames>
    <definedName name="_xlnm._FilterDatabase" localSheetId="0" hidden="1">Observations!$A$2:$U$20</definedName>
  </definedNames>
  <calcPr calcId="191029"/>
  <pivotCaches>
    <pivotCache cacheId="6" r:id="rId11"/>
    <pivotCache cacheId="7"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<sst xmlns="http://schemas.openxmlformats.org/spreadsheetml/2006/main" count="304" uniqueCount="152">
  <si>
    <t>Assessment &amp; Readout</t>
  </si>
  <si>
    <t>Implementation Tracker</t>
  </si>
  <si>
    <t>#</t>
  </si>
  <si>
    <t>Solution</t>
  </si>
  <si>
    <t>Observation/Pain Point</t>
  </si>
  <si>
    <t>Comments</t>
  </si>
  <si>
    <t>Recommendations</t>
  </si>
  <si>
    <t>Category</t>
  </si>
  <si>
    <t>Impact</t>
  </si>
  <si>
    <t>Effort</t>
  </si>
  <si>
    <t>Timeline</t>
  </si>
  <si>
    <t>Priority</t>
  </si>
  <si>
    <t>Benefits</t>
  </si>
  <si>
    <t>12 Keys To Success</t>
  </si>
  <si>
    <t>How-to</t>
  </si>
  <si>
    <t>Light Demo</t>
  </si>
  <si>
    <t>Further Services</t>
  </si>
  <si>
    <t>Links to Documentation</t>
  </si>
  <si>
    <t>Owner</t>
  </si>
  <si>
    <t>Recommendation Status</t>
  </si>
  <si>
    <t>Start Date</t>
  </si>
  <si>
    <t>Complete Date</t>
  </si>
  <si>
    <t>KPI (How to measure?)</t>
  </si>
  <si>
    <t>Sourcing</t>
  </si>
  <si>
    <t>Feature Adoption</t>
  </si>
  <si>
    <t>High</t>
  </si>
  <si>
    <t>Medium</t>
  </si>
  <si>
    <t>Quick Win</t>
  </si>
  <si>
    <t>Success Measurement</t>
  </si>
  <si>
    <t>No</t>
  </si>
  <si>
    <t>Yes</t>
  </si>
  <si>
    <t>Customer</t>
  </si>
  <si>
    <t>Q&amp;A</t>
  </si>
  <si>
    <t>Training</t>
  </si>
  <si>
    <t>Supporting Policy</t>
  </si>
  <si>
    <t>Mid Term</t>
  </si>
  <si>
    <t>Incentives</t>
  </si>
  <si>
    <t>Low</t>
  </si>
  <si>
    <t>Governance</t>
  </si>
  <si>
    <t>Short Term</t>
  </si>
  <si>
    <t>Innovation</t>
  </si>
  <si>
    <t>Cross Functional Collaboration</t>
  </si>
  <si>
    <t>Delivery / Services</t>
  </si>
  <si>
    <t>Item</t>
  </si>
  <si>
    <t>Values</t>
  </si>
  <si>
    <t>Ariba Buying</t>
  </si>
  <si>
    <t>Ariba Buying and Inv</t>
  </si>
  <si>
    <t>Catalog</t>
  </si>
  <si>
    <t>Commerce Auto</t>
  </si>
  <si>
    <t>Contracts</t>
  </si>
  <si>
    <t>Discount Mgmnt</t>
  </si>
  <si>
    <t>Discovery</t>
  </si>
  <si>
    <t>Integration</t>
  </si>
  <si>
    <t>Invoice Mgmnt</t>
  </si>
  <si>
    <t>Overall</t>
  </si>
  <si>
    <t>Procurement Operations Desk</t>
  </si>
  <si>
    <t>Guided Buying</t>
  </si>
  <si>
    <t>Reporting</t>
  </si>
  <si>
    <t>Risk</t>
  </si>
  <si>
    <t>Spend Analysis</t>
  </si>
  <si>
    <t>SIPM</t>
  </si>
  <si>
    <t>SLP</t>
  </si>
  <si>
    <t>Supply Chain Collaboration</t>
  </si>
  <si>
    <t>Process Change</t>
  </si>
  <si>
    <t>Roadmap Discussion</t>
  </si>
  <si>
    <t>Efforts, Impacts, Priority</t>
  </si>
  <si>
    <t>How To, Light Demo, Services</t>
  </si>
  <si>
    <t>Long Term</t>
  </si>
  <si>
    <t>Keys to Success</t>
  </si>
  <si>
    <t>Communication</t>
  </si>
  <si>
    <t>Executive Sponsorship</t>
  </si>
  <si>
    <t>Flight Planning</t>
  </si>
  <si>
    <t>Process Refinement</t>
  </si>
  <si>
    <t>Program Vision &amp; Business Case</t>
  </si>
  <si>
    <t>Resource Planning</t>
  </si>
  <si>
    <t>CEE</t>
  </si>
  <si>
    <t>Product Management</t>
  </si>
  <si>
    <t>Support</t>
  </si>
  <si>
    <t>Reviewed</t>
  </si>
  <si>
    <t>Confirmed</t>
  </si>
  <si>
    <t>Started</t>
  </si>
  <si>
    <t>Completed</t>
  </si>
  <si>
    <t>No Action</t>
  </si>
  <si>
    <t>Attachment</t>
  </si>
  <si>
    <t>File</t>
  </si>
  <si>
    <t>Row Labels</t>
  </si>
  <si>
    <t>Grand Total</t>
  </si>
  <si>
    <t>Count of Observation/Pain Point</t>
  </si>
  <si>
    <t>(blank)</t>
  </si>
  <si>
    <t>Count of Recommendations</t>
  </si>
  <si>
    <t>Ongoing</t>
  </si>
  <si>
    <t>Superusuarios y seguridad July 2020.pdf</t>
  </si>
  <si>
    <t>Super usuarios y seguridad en Ariba</t>
  </si>
  <si>
    <t xml:space="preserve">Como reportar uso de Sourcing, SIPM &amp; CM Usage Reports </t>
  </si>
  <si>
    <t>How to run Sourcing, SIPM &amp; CM Usage Reports - Customer.pdf</t>
  </si>
  <si>
    <t>Detalle de licencias SAP Ariba Strategic Sourcing</t>
  </si>
  <si>
    <t>Detalle de licencias SAP Ariba Strategic Sourcing.xlxs</t>
  </si>
  <si>
    <t>Guía de metricas y reportes Strategic Sourcing</t>
  </si>
  <si>
    <t>Guide  - Strategic Sourcing Metrics_ES.pdf</t>
  </si>
  <si>
    <t xml:space="preserve">Proveedores no licitan todos los materiales </t>
  </si>
  <si>
    <t>Requieren que el rango de precios sea integrado con el ERP</t>
  </si>
  <si>
    <t>Respuestas alternativas para trabajar rangos</t>
  </si>
  <si>
    <t>Subastas solo soportan hasta 15 proveedores</t>
  </si>
  <si>
    <t>SOLPED toman mucho tiempo en ser creadas</t>
  </si>
  <si>
    <t>Los contactos de los proveedores no estan actualizados</t>
  </si>
  <si>
    <r>
      <t xml:space="preserve">#2 Anexo
#Documentación Adicional
</t>
    </r>
    <r>
      <rPr>
        <b/>
        <sz val="11"/>
        <color theme="1"/>
        <rFont val="Calibri (Body)"/>
      </rPr>
      <t>Personalizar plantillas de correo electronico</t>
    </r>
    <r>
      <rPr>
        <u/>
        <sz val="11"/>
        <color theme="10"/>
        <rFont val="Calibri"/>
        <family val="2"/>
        <scheme val="minor"/>
      </rPr>
      <t xml:space="preserve">
https://help.sap.com/viewer/0c0862c3212a412ebea76d601287e5f9/cloud/es-ES/7cf22a5e71ea1014aa9bf52af1808904.html</t>
    </r>
  </si>
  <si>
    <t>https://help.sap.com/viewer/71370a3c3c22457d802405e116570bf1/cloud/es-ES/de206f58f0181014bc10e12e50490e3a.html?q=punto%20decimales#loiode231294f0181014bee4d19abcbf8501</t>
  </si>
  <si>
    <t>Los proveedores usan coma decimal para cargar propuestas</t>
  </si>
  <si>
    <t>Usar la coma decimal causa confusion en la carga de propuestas</t>
  </si>
  <si>
    <t>La coma o punto decimal esta dado por el perfil del proveedor, esto puede ser modificado por cada proveedor en su perfil de proveedor</t>
  </si>
  <si>
    <t>Los proveedores podran licitar usando punto o coma decimal segun se ajuste a sus necesidades</t>
  </si>
  <si>
    <t>La ayuda que se le da al proveedor en diferentes instancias es directamente entre el equipo Alicorp y el proveedor</t>
  </si>
  <si>
    <t>- Los proveedores no tienen mantenimiento en Ariba
- Contacto de proveedores se estan actualizando manualmente</t>
  </si>
  <si>
    <t>La gestión de proveedores debe ser abarcada de un plan estrategico que incluye:
1. Personalización de mensajeria Ariba para proveedores(Invitación a registro, intivitación a eventos)
2. Construcción de un portal de proveedores para poder obterner información de los procesos de licitación Alicorp y obtener auto ayuda(ayuda detallada por cencosud / ayuda de links hacia Ariba)
3. La autogestión del proveedor en Ariba y la revisión/aprobación del lado de negocio,  reduciendo al minimo los errores en la creación de usuarios proveedores
4. Implementación de roles en la organización basado en el centro de excelencia</t>
  </si>
  <si>
    <t>-Los proveedores podran empezar a resolver sus dudas y necesidades sin intervención del equipo Alicorp.
- Los proveedores realizaran la actualización de contactos de vendores para la aprobación de Alicorp</t>
  </si>
  <si>
    <t>https://help.sap.com/viewer/36a99e6ce8954882ba1cbe6d42056c3e/cloud/es-ES/7c1c716571ea1014b98f821728725118.html</t>
  </si>
  <si>
    <t>Se tiene una limitación de 15 proveedores por subasta</t>
  </si>
  <si>
    <t>Los eventos competitivos, dentro de los cuales se encuentran las subastas, tiene un limite maximo de hasta 700 proveedores</t>
  </si>
  <si>
    <t>Las SOLPED son los puntos iniciales del proceso en SAP Ariba Sourcing</t>
  </si>
  <si>
    <t>Se recomienda evaluar si las licitaciones que deben pasar por Ariba requieren una Solped y/o analizar la viabilidad de aligerar el proceso de liberación para estos documentos en el ERP con el fin de tener eventos en menor tiempo</t>
  </si>
  <si>
    <t xml:space="preserve">El proceso de liberación de SOLPED permitira generar mas proyectos/eventos en Ariba para su negociación en forma simulteana </t>
  </si>
  <si>
    <t>Se identifico que existio un caso en donde el proveedor no licito todos los skus solicitados y no se pudo generar un documento en el ERP via Ariba Doc3158690487</t>
  </si>
  <si>
    <t>1. Si se requiere que los proveedores invitados liciten todas las lineas, sin excepción, se debe activar la opcion a nivel de linea "Respuesta requerida para este artículo o lote"
2. Se reviso el evento proporcionado y no presenta ningun error al ejecutar la transacción de enviar a sistema externo</t>
  </si>
  <si>
    <t>Los proveedores seran forzados a licitar todos los items solicitados caso contrario no podran licitar ese evento</t>
  </si>
  <si>
    <t>Carga de multiples documentos en Evento</t>
  </si>
  <si>
    <t>Cuando se quiere cargar multiples documentos se debe crear una pregunta por cada adjunto</t>
  </si>
  <si>
    <t>https://connectsupport.ariba.com/sites#item-view&amp;/151070</t>
  </si>
  <si>
    <t>1. Se puede crear pregunta por cada adjunto que se desee comunicar al proveedor
2. Se puede crear 1 sola pregunta, indicando el fin de los adjuntos descritos en la pregunta, para agrupar estos adjuntos se debe realizar via un archivo .ZIP de maximo 100MB
3. Se puede emplear el metodo numero 2 pero no usar un adjunto sino un enlace a algun repositorio publico en donde encontrara todos los adjuntos</t>
  </si>
  <si>
    <t>Carga de adjuntos para el proveedor via archivo ZIP</t>
  </si>
  <si>
    <t>https://help.sap.com/viewer/36a99e6ce8954882ba1cbe6d42056c3e/cloud/es-ES/a5bbf8e9724a4b9fa023d1583ef82aad.html</t>
  </si>
  <si>
    <t>Licitación de servicio de transporte</t>
  </si>
  <si>
    <t>Se requiere llevar a Ariba el modelo de transporte</t>
  </si>
  <si>
    <t>Licitar el servicio de transporte via SAP Ariba</t>
  </si>
  <si>
    <t>-El uso de rango de precios, o condiciones de precio, ayudaria al comprador a obetner una determinación de precios más precisa
-La adopción de rango de precios traeria consigo la funcionalidad de creación/actualización de Purchase Info Record en el ERP</t>
  </si>
  <si>
    <t>Se requiere obterner respuestas alternativas para trabajarlas como rangos</t>
  </si>
  <si>
    <t>https://help.sap.com/viewer/36a99e6ce8954882ba1cbe6d42056c3e/cloud/es-ES/7c1a725771ea1014bcb0a4fe15f3bb84.html</t>
  </si>
  <si>
    <t>Las repuestas alternativas pueden ser de tipo precio o de rango. Las respuestas de tipo precio pueden tener integración con el ERP. Si se trabaja varias respuestas alternativas de tipo precio, del lado del proveedor, se generaran varias respuestas las cuales podran ser tomadas para adjudicación.</t>
  </si>
  <si>
    <t>Las respuestas alternativas se pueden ayudar a capturar oportunidades de precio que el proveedor identifica con anticipación</t>
  </si>
  <si>
    <t>#8 Anexo</t>
  </si>
  <si>
    <t>1.Este escenario podria llevarse a una licitación insertando en cada articulo en linea las diferentes plantas de Alicorp y como termino de articulo, por cada Linea, crear los diferentes destinos. 
2. Emplear lotes para licitar las rutas y plantas
Tener en cuenta que si se quiere trabajar con integración desde Ariba al ERP y solo deseamos crear un solo documento deberemos, adicionalmente, crear una linea extra a manera de total de la cotización</t>
  </si>
  <si>
    <t>1. Existe la opción de creación de rangos de precios por parte del proveedor como respuesta alternativa, estos rangos estaran sujetos a los parametros del articulo en linea. Esta respuesta de rangos no soporta integración.
2. La especificación de condiciones de precios permite a los compradores solicitar precios de los proveedores para diferentes períodos de validez (por ejemplo, mensual, trimestral, anual o personalizado) y para diferentes escalas por volumen. La recopilación de precios a lo largo del tiempo y por volumen puede llevar a una determinación de precios más precisa. Sin embargo la integración con el ERP asi como la generación de PIR esta disponible solo para Strategic Sourcing Suite</t>
  </si>
  <si>
    <t>Limitación de terminos para cierto tipo de licitaciones</t>
  </si>
  <si>
    <t>Actualmente las plantillas estan configuradas para soportar 30 terminos como maximo por limitación de Ariba</t>
  </si>
  <si>
    <t>La documentación de Ariba presenta una actualización que indica que si bien es cierto la limitante para eventos con gran cantidad de lineas, indica tambien que ahora se podria licitar hasta 200 lineas con mas de 30 terminos. Dicho esto se sugiere explorar la posibilidad de dividir el proceso en eventos que requieren menos de 200 lineas con mas 30 terminos y los que no cumplan con este criterio mantener la configuración actual</t>
  </si>
  <si>
    <t>Se podrán llevar a Ariba mas escenarios de negocio segmentando por la cantida de lineas a licitar</t>
  </si>
  <si>
    <t>Esquema de costos de transporte no configurado en Ariba</t>
  </si>
  <si>
    <t>Las plantillas configuradas en Ariba no soportan el esquema de costos de transporte usados en Alicorp</t>
  </si>
  <si>
    <t>Se analizo el esquema presentado por Alicorp en donde hizo la expoción de 2 recomendaciones:
1. Emplear lotes con items para agrupar la estructura de costos en cada lote. El incoveniente con este alcance es que los proveedores no podrian elegir que ruta licitar o no dentro de un lote.
2. Emplear secciones para segmentar la estructura de costos. Con este escenario los proveedores podrían seleccionar que ruta licitar, pero no se contaria con un agrupador resumen por estructura de costos.
Ambas recomendaciones fueron presentadas en una RFP de desgloce de precios para que los terminos ingresados por el proveedor sean tomados en cuenta para calcular el precio final</t>
  </si>
  <si>
    <t>Licitar proceso de Transporte via Ariba</t>
  </si>
  <si>
    <t>Soporte a Proveedor lo realiza Alicorp</t>
  </si>
  <si>
    <t>Parte de la recomendación #2 es implementar esquema de roles basado en el centro de excelencia para atender a los proveedores una vez que ellos ejecutaron la autoayuda de problemas comunes y solicitaron ayuda via SAP Ariba</t>
  </si>
  <si>
    <t>Condición de precios en eventos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</si>
</sst>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u/>
      <sz val="11"/>
      <color theme="10"/>
      <name val="Calibri"/>
      <family val="2"/>
      <scheme val="minor"/>
    </font>
    <font>
      <b/>
      <sz val="12"/>
      <color theme="1"/>
      <name val="Arial"/>
      <family val="2"/>
    </font>
    <font>
      <sz val="10"/>
      <color theme="1"/>
      <name val="Arial"/>
      <family val="2"/>
    </font>
    <font>
      <b/>
      <sz val="10"/>
      <color theme="1"/>
      <name val="Arial"/>
      <family val="2"/>
    </font>
    <font>
      <sz val="10"/>
      <color theme="1"/>
      <name val="Calibri"/>
      <family val="2"/>
      <scheme val="minor"/>
    </font>
    <font>
      <sz val="10"/>
      <name val="Calibri"/>
      <family val="2"/>
      <scheme val="minor"/>
    </font>
    <font>
      <b/>
      <sz val="11"/>
      <color theme="1"/>
      <name val="Arial"/>
      <family val="2"/>
    </font>
    <font>
      <sz val="11"/>
      <color theme="1"/>
      <name val="Arial"/>
      <family val="2"/>
    </font>
    <font>
      <b/>
      <sz val="11"/>
      <color theme="9"/>
      <name val="Arial"/>
      <family val="2"/>
    </font>
    <font>
      <b/>
      <sz val="11"/>
      <color theme="1"/>
      <name val="Calibri (Body)"/>
    </font>
    <font>
      <sz val="11"/>
      <color theme="1"/>
      <name val="Arial"/>
      <family val="2"/>
    </font>
  </fonts>
  <fills count="6">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0" tint="-0.14999847407452621"/>
        <bgColor indexed="64"/>
      </patternFill>
    </fill>
  </fills>
  <borders count="1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72">
    <xf numFmtId="0" fontId="0" fillId="0" borderId="0" xfId="0"/>
    <xf numFmtId="0" fontId="4" fillId="0" borderId="0" xfId="0" applyFont="1" applyAlignment="1"/>
    <xf numFmtId="0" fontId="5" fillId="4" borderId="2" xfId="0" applyFont="1" applyFill="1" applyBorder="1" applyAlignment="1">
      <alignment horizontal="center" vertical="top" wrapText="1"/>
    </xf>
    <xf numFmtId="0" fontId="5" fillId="4" borderId="2" xfId="0" applyFont="1" applyFill="1" applyBorder="1" applyAlignment="1">
      <alignment horizontal="left" vertical="top" wrapText="1"/>
    </xf>
    <xf numFmtId="0" fontId="4" fillId="0" borderId="0" xfId="0" applyFont="1" applyAlignment="1">
      <alignment vertical="top"/>
    </xf>
    <xf numFmtId="0" fontId="6" fillId="0" borderId="2" xfId="0" applyFont="1" applyFill="1" applyBorder="1" applyAlignment="1">
      <alignment vertical="top" wrapText="1"/>
    </xf>
    <xf numFmtId="0" fontId="7" fillId="0" borderId="2" xfId="0" applyFont="1" applyFill="1" applyBorder="1" applyAlignment="1">
      <alignment horizontal="left" vertical="top" wrapText="1"/>
    </xf>
    <xf numFmtId="0" fontId="6" fillId="0" borderId="2" xfId="0" applyFont="1" applyFill="1" applyBorder="1" applyAlignment="1">
      <alignment horizontal="center" vertical="top" wrapText="1"/>
    </xf>
    <xf numFmtId="0" fontId="2" fillId="0" borderId="2" xfId="1" applyFill="1" applyBorder="1" applyAlignment="1">
      <alignment vertical="top" wrapText="1"/>
    </xf>
    <xf numFmtId="0" fontId="4" fillId="5" borderId="2" xfId="0" applyFont="1" applyFill="1" applyBorder="1" applyAlignment="1">
      <alignment wrapText="1"/>
    </xf>
    <xf numFmtId="0" fontId="4" fillId="0" borderId="0" xfId="0" applyFont="1" applyAlignment="1">
      <alignment wrapText="1"/>
    </xf>
    <xf numFmtId="0" fontId="6" fillId="0" borderId="2" xfId="0" applyFont="1" applyBorder="1" applyAlignment="1">
      <alignment vertical="top" wrapText="1"/>
    </xf>
    <xf numFmtId="0" fontId="2" fillId="0" borderId="2" xfId="1" applyBorder="1" applyAlignment="1">
      <alignment vertical="top" wrapText="1"/>
    </xf>
    <xf numFmtId="0" fontId="4" fillId="5" borderId="2" xfId="0" applyFont="1" applyFill="1" applyBorder="1" applyAlignment="1"/>
    <xf numFmtId="0" fontId="7" fillId="0" borderId="2" xfId="0" applyFont="1" applyBorder="1" applyAlignment="1">
      <alignment vertical="top" wrapText="1"/>
    </xf>
    <xf numFmtId="0" fontId="4" fillId="0" borderId="0" xfId="0" applyFont="1" applyAlignment="1">
      <alignment horizontal="center" vertical="top"/>
    </xf>
    <xf numFmtId="0" fontId="4" fillId="0" borderId="0" xfId="0" applyFont="1" applyAlignment="1">
      <alignment vertical="top" wrapText="1"/>
    </xf>
    <xf numFmtId="0" fontId="4" fillId="0" borderId="0" xfId="0" applyFont="1" applyAlignment="1">
      <alignment horizontal="left" vertical="top" wrapText="1"/>
    </xf>
    <xf numFmtId="0" fontId="4" fillId="0" borderId="0" xfId="0" applyFont="1" applyAlignment="1">
      <alignment horizontal="left" wrapText="1"/>
    </xf>
    <xf numFmtId="0" fontId="4" fillId="0" borderId="0" xfId="0" applyFont="1" applyAlignment="1">
      <alignment horizontal="center"/>
    </xf>
    <xf numFmtId="0" fontId="4" fillId="0" borderId="0" xfId="0" applyFont="1" applyAlignment="1">
      <alignment horizontal="center" wrapText="1"/>
    </xf>
    <xf numFmtId="0" fontId="4" fillId="0" borderId="0" xfId="0" applyFont="1" applyAlignment="1">
      <alignment horizontal="center" vertical="top" wrapText="1"/>
    </xf>
    <xf numFmtId="0" fontId="4" fillId="0" borderId="0" xfId="0" applyFont="1" applyAlignment="1">
      <alignment horizontal="left" vertical="top"/>
    </xf>
    <xf numFmtId="0" fontId="9" fillId="0" borderId="0" xfId="0" applyFont="1"/>
    <xf numFmtId="0" fontId="8" fillId="4" borderId="2" xfId="0" applyFont="1" applyFill="1" applyBorder="1" applyAlignment="1">
      <alignment horizontal="center"/>
    </xf>
    <xf numFmtId="0" fontId="8" fillId="0" borderId="4" xfId="0" applyFont="1" applyBorder="1"/>
    <xf numFmtId="0" fontId="9" fillId="0" borderId="3" xfId="0" applyFont="1" applyBorder="1"/>
    <xf numFmtId="0" fontId="8" fillId="0" borderId="0" xfId="0" applyFont="1" applyBorder="1"/>
    <xf numFmtId="0" fontId="8" fillId="0" borderId="3" xfId="0" applyFont="1" applyBorder="1"/>
    <xf numFmtId="0" fontId="9" fillId="0" borderId="5" xfId="0" applyFont="1" applyBorder="1"/>
    <xf numFmtId="0" fontId="9" fillId="0" borderId="4" xfId="0" applyFont="1" applyBorder="1"/>
    <xf numFmtId="0" fontId="9" fillId="0" borderId="4" xfId="0" applyFont="1" applyFill="1" applyBorder="1"/>
    <xf numFmtId="0" fontId="9" fillId="0" borderId="3" xfId="0" applyFont="1" applyFill="1" applyBorder="1"/>
    <xf numFmtId="0" fontId="9" fillId="0" borderId="5" xfId="0" applyFont="1" applyFill="1" applyBorder="1"/>
    <xf numFmtId="0" fontId="8" fillId="0" borderId="6" xfId="0" applyFont="1" applyBorder="1"/>
    <xf numFmtId="0" fontId="9" fillId="0" borderId="7" xfId="0" applyFont="1" applyBorder="1"/>
    <xf numFmtId="0" fontId="8" fillId="0" borderId="8" xfId="0" applyFont="1" applyBorder="1"/>
    <xf numFmtId="0" fontId="9" fillId="0" borderId="8" xfId="0" applyFont="1" applyBorder="1"/>
    <xf numFmtId="0" fontId="9" fillId="0" borderId="9" xfId="0" applyFont="1" applyBorder="1"/>
    <xf numFmtId="0" fontId="9" fillId="0" borderId="10" xfId="0" applyFont="1" applyBorder="1"/>
    <xf numFmtId="0" fontId="9" fillId="0" borderId="11" xfId="0" applyFont="1" applyBorder="1"/>
    <xf numFmtId="0" fontId="1" fillId="5" borderId="2" xfId="0" applyFont="1" applyFill="1" applyBorder="1"/>
    <xf numFmtId="0" fontId="8" fillId="5" borderId="2" xfId="0" applyFont="1" applyFill="1" applyBorder="1"/>
    <xf numFmtId="0" fontId="9" fillId="0" borderId="2" xfId="0" applyFont="1" applyBorder="1"/>
    <xf numFmtId="0" fontId="0" fillId="0" borderId="0" xfId="0" pivotButton="1"/>
    <xf numFmtId="0" fontId="0" fillId="0" borderId="0" xfId="0" applyAlignment="1">
      <alignment horizontal="left"/>
    </xf>
    <xf numFmtId="0" fontId="0" fillId="0" borderId="0" xfId="0" applyNumberFormat="1"/>
    <xf numFmtId="0" fontId="6" fillId="5" borderId="2" xfId="0" applyFont="1" applyFill="1" applyBorder="1" applyAlignment="1">
      <alignment horizontal="center" vertical="top" wrapText="1"/>
    </xf>
    <xf numFmtId="0" fontId="10" fillId="0" borderId="2" xfId="0" applyFont="1" applyBorder="1" applyAlignment="1">
      <alignment vertical="top"/>
    </xf>
    <xf numFmtId="0" fontId="4" fillId="5" borderId="2" xfId="0" applyFont="1" applyFill="1" applyBorder="1" applyAlignment="1">
      <alignment horizontal="left" vertical="top" wrapText="1"/>
    </xf>
    <xf numFmtId="0" fontId="6" fillId="0" borderId="2" xfId="0" applyFont="1" applyBorder="1" applyAlignment="1">
      <alignment horizontal="center" vertical="top" wrapText="1"/>
    </xf>
    <xf numFmtId="0" fontId="0" fillId="0" borderId="2" xfId="0" applyBorder="1" applyAlignment="1">
      <alignment vertical="top" wrapText="1"/>
    </xf>
    <xf numFmtId="0" fontId="6" fillId="0" borderId="2" xfId="0" quotePrefix="1" applyFont="1" applyBorder="1" applyAlignment="1">
      <alignment vertical="top" wrapText="1"/>
    </xf>
    <xf numFmtId="0" fontId="7" fillId="0" borderId="2" xfId="0" applyFont="1" applyFill="1" applyBorder="1" applyAlignment="1">
      <alignment vertical="top" wrapText="1"/>
    </xf>
    <xf numFmtId="0" fontId="4" fillId="0" borderId="2" xfId="0" applyFont="1" applyBorder="1" applyAlignment="1">
      <alignment horizontal="left" wrapText="1"/>
    </xf>
    <xf numFmtId="0" fontId="4" fillId="0" borderId="2" xfId="0" applyFont="1" applyBorder="1" applyAlignment="1">
      <alignment wrapText="1"/>
    </xf>
    <xf numFmtId="0" fontId="4" fillId="0" borderId="2" xfId="0" applyFont="1" applyBorder="1" applyAlignment="1"/>
    <xf numFmtId="0" fontId="6" fillId="2" borderId="2" xfId="0" applyFont="1" applyFill="1" applyBorder="1" applyAlignment="1">
      <alignment horizontal="left" vertical="top" wrapText="1"/>
    </xf>
    <xf numFmtId="0" fontId="0" fillId="0" borderId="2" xfId="0" applyFont="1" applyBorder="1" applyAlignment="1">
      <alignment vertical="top" wrapText="1"/>
    </xf>
    <xf numFmtId="0" fontId="7" fillId="2" borderId="2" xfId="0" applyFont="1" applyFill="1" applyBorder="1" applyAlignment="1">
      <alignment horizontal="left" vertical="top" wrapText="1"/>
    </xf>
    <xf numFmtId="0" fontId="4" fillId="5" borderId="2" xfId="0" applyFont="1" applyFill="1" applyBorder="1" applyAlignment="1">
      <alignment vertical="top" wrapText="1"/>
    </xf>
    <xf numFmtId="0" fontId="6" fillId="0" borderId="2" xfId="0" applyFont="1" applyBorder="1" applyAlignment="1">
      <alignment horizontal="left" vertical="top" wrapText="1"/>
    </xf>
    <xf numFmtId="0" fontId="7" fillId="0" borderId="2" xfId="0" quotePrefix="1" applyFont="1" applyBorder="1" applyAlignment="1">
      <alignment horizontal="left" vertical="top" wrapText="1"/>
    </xf>
    <xf numFmtId="0" fontId="7" fillId="0" borderId="2" xfId="0" applyFont="1" applyBorder="1" applyAlignment="1">
      <alignment horizontal="left" vertical="top" wrapText="1"/>
    </xf>
    <xf numFmtId="0" fontId="7" fillId="0" borderId="2" xfId="0" quotePrefix="1" applyFont="1" applyFill="1" applyBorder="1" applyAlignment="1">
      <alignment horizontal="left" vertical="top" wrapText="1"/>
    </xf>
    <xf numFmtId="0" fontId="6" fillId="0" borderId="2" xfId="0" quotePrefix="1" applyFont="1" applyFill="1" applyBorder="1" applyAlignment="1">
      <alignment vertical="top" wrapText="1"/>
    </xf>
    <xf numFmtId="0" fontId="12" fillId="0" borderId="0" xfId="0" pivotButton="1" applyFont="1"/>
    <xf numFmtId="0" fontId="12" fillId="0" borderId="0" xfId="0" applyFont="1"/>
    <xf numFmtId="0" fontId="12" fillId="0" borderId="0" xfId="0" applyFont="1" applyAlignment="1">
      <alignment horizontal="left"/>
    </xf>
    <xf numFmtId="0" fontId="12" fillId="0" borderId="0" xfId="0" applyNumberFormat="1" applyFont="1"/>
    <xf numFmtId="0" fontId="3" fillId="3" borderId="1" xfId="0" applyFont="1" applyFill="1" applyBorder="1" applyAlignment="1">
      <alignment horizontal="center"/>
    </xf>
    <xf numFmtId="0" fontId="3" fillId="2" borderId="0" xfId="0" applyFont="1" applyFill="1" applyBorder="1" applyAlignment="1">
      <alignment horizontal="center"/>
    </xf>
  </cellXfs>
  <cellStyles count="2">
    <cellStyle name="Hyperlink" xfId="1" builtinId="8"/>
    <cellStyle name="Normal" xfId="0" builtinId="0"/>
  </cellStyles>
  <dxfs count="18">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[Alicorp - Recommendaciones Sourcing.xlsx]Solution!PivotTable1</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 RECOMENDACIONES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PE"/>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E"/>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Solution!$B$3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Solution!$A$4:$A$7</c:f>
              <c:strCache>
                <c:ptCount val="3"/>
                <c:pt idx="0">
                  <c:v>Sourcing</c:v>
                </c:pt>
                <c:pt idx="1">
                  <c:v>SIPM</c:v>
                </c:pt>
                <c:pt idx="2">
                  <c:v>(blank)</c:v>
                </c:pt>
              </c:strCache>
            </c:strRef>
          </c:cat>
          <c:val>
            <c:numRef>
              <c:f>Solution!$B$4:$B$7</c:f>
              <c:numCache>
                <c:formatCode>General</c:formatCode>
                <c:ptCount val="3"/>
                <c:pt idx="0">
                  <c:v>10</c:v>
                </c:pt>
                <c:pt idx="1">
                  <c:v>2</c:v>
                </c:pt>
              </c:numCache>
            </c:numRef>
          </c:val>
          <c:extLst>
            <c:ext xmlns:c16="http://schemas.microsoft.com/office/drawing/2014/chart" uri="{C3380CC4-5D6E-409C-BE32-E72D297353CC}">
              <c16:uniqueId val="{00000000-CAB4-4968-AD63-582869914EEF}"/>
            </c:ext>
          </c:extLst>
        </c:ser>
        <c:dLbls>
          <c:showLegendKey val="0"/>
          <c:showVal val="0"/>
          <c:showCatName val="0"/>
          <c:showSerName val="0"/>
          <c:showPercent val="0"/>
          <c:showBubbleSize val="0"/>
        </c:dLbls>
        <c:gapWidth val="355"/>
        <c:overlap val="-70"/>
        <c:axId val="951553168"/>
        <c:axId val="924532720"/>
      </c:barChart>
      <c:catAx>
        <c:axId val="95155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E"/>
          </a:p>
        </c:txPr>
        <c:crossAx val="924532720"/>
        <c:crosses val="autoZero"/>
        <c:auto val="1"/>
        <c:lblAlgn val="ctr"/>
        <c:lblOffset val="100"/>
        <c:noMultiLvlLbl val="0"/>
      </c:catAx>
      <c:valAx>
        <c:axId val="92453272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E"/>
          </a:p>
        </c:txPr>
        <c:crossAx val="951553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[Alicorp - Recommendaciones Sourcing.xlsx]Impact!PivotTable2</c:name>
    <c:fmtId val="36"/>
  </c:pivotSource>
  <c:chart>
    <c:autoTitleDeleted val="1"/>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layout>
            <c:manualLayout>
              <c:x val="-5.4328792324431691E-2"/>
              <c:y val="-2.934581630904384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PE"/>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dLbl>
          <c:idx val="0"/>
          <c:layout>
            <c:manualLayout>
              <c:x val="7.1684587813620068E-2"/>
              <c:y val="4.76530855372883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dLbl>
          <c:idx val="0"/>
          <c:layout>
            <c:manualLayout>
              <c:x val="-7.1684587813620068E-2"/>
              <c:y val="-4.765308553728853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dLbl>
          <c:idx val="0"/>
          <c:layout>
            <c:manualLayout>
              <c:x val="-7.1684587813620124E-2"/>
              <c:y val="-3.3357159876101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8.3632019115890077E-2"/>
              <c:y val="1.4295925661186561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PE"/>
            </a:p>
          </c:txPr>
          <c:dLblPos val="bestFit"/>
          <c:showLegendKey val="0"/>
          <c:showVal val="0"/>
          <c:showCatName val="1"/>
          <c:showSerName val="0"/>
          <c:showPercent val="1"/>
          <c:showBubbleSize val="0"/>
          <c:extLst>
            <c:ext xmlns:c15="http://schemas.microsoft.com/office/drawing/2012/chart" uri="{CE6537A1-D6FC-4f65-9D91-7224C49458BB}">
              <c15:layout>
                <c:manualLayout>
                  <c:w val="6.9982078853046595E-2"/>
                  <c:h val="0.14491303311889445"/>
                </c:manualLayout>
              </c15:layout>
            </c:ext>
          </c:extLst>
        </c:dLbl>
      </c:pivotFmt>
      <c:pivotFmt>
        <c:idx val="18"/>
        <c:spPr>
          <a:solidFill>
            <a:schemeClr val="accent1"/>
          </a:solidFill>
          <a:ln>
            <a:noFill/>
          </a:ln>
          <a:effectLst/>
        </c:spPr>
      </c:pivotFmt>
    </c:pivotFmts>
    <c:plotArea>
      <c:layout/>
      <c:pieChart>
        <c:varyColors val="1"/>
        <c:ser>
          <c:idx val="0"/>
          <c:order val="0"/>
          <c:tx>
            <c:strRef>
              <c:f>Impact!$B$3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56EE-415A-9510-C7DC5DC46753}"/>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56EE-415A-9510-C7DC5DC46753}"/>
              </c:ext>
            </c:extLst>
          </c:dPt>
          <c:dPt>
            <c:idx val="2"/>
            <c:bubble3D val="0"/>
            <c:spPr>
              <a:solidFill>
                <a:schemeClr val="accent3"/>
              </a:solidFill>
              <a:ln>
                <a:noFill/>
              </a:ln>
              <a:effectLst/>
            </c:spPr>
            <c:extLst>
              <c:ext xmlns:c16="http://schemas.microsoft.com/office/drawing/2014/chart" uri="{C3380CC4-5D6E-409C-BE32-E72D297353CC}">
                <c16:uniqueId val="{00000004-A99F-463F-A284-93A265D466A7}"/>
              </c:ext>
            </c:extLst>
          </c:dPt>
          <c:dPt>
            <c:idx val="3"/>
            <c:bubble3D val="0"/>
            <c:spPr>
              <a:solidFill>
                <a:schemeClr val="accent4"/>
              </a:solidFill>
              <a:ln>
                <a:noFill/>
              </a:ln>
              <a:effectLst/>
            </c:spPr>
            <c:extLst>
              <c:ext xmlns:c16="http://schemas.microsoft.com/office/drawing/2014/chart" uri="{C3380CC4-5D6E-409C-BE32-E72D297353CC}">
                <c16:uniqueId val="{00000006-9ED2-4BEF-993E-47F9EB158193}"/>
              </c:ext>
            </c:extLst>
          </c:dPt>
          <c:dLbls>
            <c:dLbl>
              <c:idx val="0"/>
              <c:layout>
                <c:manualLayout>
                  <c:x val="7.1684587813620068E-2"/>
                  <c:y val="4.76530855372883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56EE-415A-9510-C7DC5DC46753}"/>
                </c:ext>
              </c:extLst>
            </c:dLbl>
            <c:dLbl>
              <c:idx val="1"/>
              <c:layout>
                <c:manualLayout>
                  <c:x val="-5.4328792324431691E-2"/>
                  <c:y val="-2.934581630904384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PE"/>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6EE-415A-9510-C7DC5DC46753}"/>
                </c:ext>
              </c:extLst>
            </c:dLbl>
            <c:dLbl>
              <c:idx val="2"/>
              <c:layout>
                <c:manualLayout>
                  <c:x val="-8.3632019115890077E-2"/>
                  <c:y val="1.4295925661186561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PE"/>
                </a:p>
              </c:txPr>
              <c:dLblPos val="bestFit"/>
              <c:showLegendKey val="0"/>
              <c:showVal val="0"/>
              <c:showCatName val="1"/>
              <c:showSerName val="0"/>
              <c:showPercent val="1"/>
              <c:showBubbleSize val="0"/>
              <c:extLst>
                <c:ext xmlns:c15="http://schemas.microsoft.com/office/drawing/2012/chart" uri="{CE6537A1-D6FC-4f65-9D91-7224C49458BB}">
                  <c15:layout>
                    <c:manualLayout>
                      <c:w val="6.9982078853046595E-2"/>
                      <c:h val="0.14491303311889445"/>
                    </c:manualLayout>
                  </c15:layout>
                </c:ext>
                <c:ext xmlns:c16="http://schemas.microsoft.com/office/drawing/2014/chart" uri="{C3380CC4-5D6E-409C-BE32-E72D297353CC}">
                  <c16:uniqueId val="{00000004-A99F-463F-A284-93A265D466A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Ref>
              <c:f>Impact!$A$4:$A$8</c:f>
              <c:strCache>
                <c:ptCount val="4"/>
                <c:pt idx="0">
                  <c:v>High</c:v>
                </c:pt>
                <c:pt idx="1">
                  <c:v>Medium</c:v>
                </c:pt>
                <c:pt idx="2">
                  <c:v>Low</c:v>
                </c:pt>
                <c:pt idx="3">
                  <c:v>(blank)</c:v>
                </c:pt>
              </c:strCache>
            </c:strRef>
          </c:cat>
          <c:val>
            <c:numRef>
              <c:f>Impact!$B$4:$B$8</c:f>
              <c:numCache>
                <c:formatCode>General</c:formatCode>
                <c:ptCount val="4"/>
                <c:pt idx="0">
                  <c:v>5</c:v>
                </c:pt>
                <c:pt idx="1">
                  <c:v>2</c:v>
                </c:pt>
                <c:pt idx="2">
                  <c:v>5</c:v>
                </c:pt>
              </c:numCache>
            </c:numRef>
          </c:val>
          <c:extLst>
            <c:ext xmlns:c16="http://schemas.microsoft.com/office/drawing/2014/chart" uri="{C3380CC4-5D6E-409C-BE32-E72D297353CC}">
              <c16:uniqueId val="{00000008-56EE-415A-9510-C7DC5DC46753}"/>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P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[Alicorp - Recommendaciones Sourcing.xlsx]Timeline!PivotTable4</c:name>
    <c:fmtId val="4"/>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a:outerShdw blurRad="63500" sx="102000" sy="102000" algn="ctr" rotWithShape="0">
              <a:prstClr val="black">
                <a:alpha val="20000"/>
              </a:prstClr>
            </a:outerShdw>
          </a:effectLst>
        </c:spPr>
        <c:dLbl>
          <c:idx val="0"/>
          <c:layout>
            <c:manualLayout>
              <c:x val="8.0587566039223638E-3"/>
              <c:y val="-1.227038927826329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lumMod val="50000"/>
                    </a:schemeClr>
                  </a:solidFill>
                  <a:latin typeface="+mn-lt"/>
                  <a:ea typeface="+mn-ea"/>
                  <a:cs typeface="+mn-cs"/>
                </a:defRPr>
              </a:pPr>
              <a:endParaRPr lang="en-PE"/>
            </a:p>
          </c:txPr>
          <c:showLegendKey val="0"/>
          <c:showVal val="1"/>
          <c:showCatName val="1"/>
          <c:showSerName val="0"/>
          <c:showPercent val="0"/>
          <c:showBubbleSize val="1"/>
          <c:extLst>
            <c:ext xmlns:c15="http://schemas.microsoft.com/office/drawing/2012/chart" uri="{CE6537A1-D6FC-4f65-9D91-7224C49458BB}"/>
          </c:extLst>
        </c:dLbl>
      </c:pivotFmt>
      <c:pivotFmt>
        <c:idx val="2"/>
        <c:spPr>
          <a:solidFill>
            <a:srgbClr val="FFC000"/>
          </a:solidFill>
          <a:ln>
            <a:noFill/>
          </a:ln>
          <a:effectLst>
            <a:outerShdw blurRad="63500" sx="102000" sy="102000" algn="ctr" rotWithShape="0">
              <a:prstClr val="black">
                <a:alpha val="20000"/>
              </a:prstClr>
            </a:outerShdw>
          </a:effectLst>
        </c:spPr>
        <c:dLbl>
          <c:idx val="0"/>
          <c:layout>
            <c:manualLayout>
              <c:x val="3.7051330030913383E-2"/>
              <c:y val="-7.556438263899383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PE"/>
            </a:p>
          </c:txPr>
          <c:dLblPos val="bestFit"/>
          <c:showLegendKey val="1"/>
          <c:showVal val="1"/>
          <c:showCatName val="1"/>
          <c:showSerName val="0"/>
          <c:showPercent val="0"/>
          <c:showBubbleSize val="1"/>
          <c:extLst>
            <c:ext xmlns:c15="http://schemas.microsoft.com/office/drawing/2012/chart" uri="{CE6537A1-D6FC-4f65-9D91-7224C49458BB}"/>
          </c:extLst>
        </c:dLbl>
      </c:pivotFmt>
      <c:pivotFmt>
        <c:idx val="3"/>
        <c:spPr>
          <a:solidFill>
            <a:schemeClr val="accent6"/>
          </a:solidFill>
          <a:ln>
            <a:noFill/>
          </a:ln>
          <a:effectLst>
            <a:outerShdw blurRad="63500" sx="102000" sy="102000" algn="ctr" rotWithShape="0">
              <a:prstClr val="black">
                <a:alpha val="20000"/>
              </a:prstClr>
            </a:outerShdw>
          </a:effectLst>
        </c:spPr>
        <c:dLbl>
          <c:idx val="0"/>
          <c:layout>
            <c:manualLayout>
              <c:x val="3.9109737254852943E-2"/>
              <c:y val="7.556438263899245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PE"/>
            </a:p>
          </c:txPr>
          <c:dLblPos val="bestFit"/>
          <c:showLegendKey val="1"/>
          <c:showVal val="1"/>
          <c:showCatName val="1"/>
          <c:showSerName val="0"/>
          <c:showPercent val="0"/>
          <c:showBubbleSize val="1"/>
          <c:extLst>
            <c:ext xmlns:c15="http://schemas.microsoft.com/office/drawing/2012/chart" uri="{CE6537A1-D6FC-4f65-9D91-7224C49458BB}"/>
          </c:extLst>
        </c:dLbl>
      </c:pivotFmt>
      <c:pivotFmt>
        <c:idx val="4"/>
        <c:spPr>
          <a:solidFill>
            <a:srgbClr val="7030A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30A0"/>
                  </a:solidFill>
                  <a:latin typeface="+mn-lt"/>
                  <a:ea typeface="+mn-ea"/>
                  <a:cs typeface="+mn-cs"/>
                </a:defRPr>
              </a:pPr>
              <a:endParaRPr lang="en-PE"/>
            </a:p>
          </c:txPr>
          <c:dLblPos val="outEnd"/>
          <c:showLegendKey val="1"/>
          <c:showVal val="1"/>
          <c:showCatName val="1"/>
          <c:showSerName val="0"/>
          <c:showPercent val="0"/>
          <c:showBubbleSize val="1"/>
          <c:extLst>
            <c:ext xmlns:c15="http://schemas.microsoft.com/office/drawing/2012/chart" uri="{CE6537A1-D6FC-4f65-9D91-7224C49458BB}"/>
          </c:extLst>
        </c:dLbl>
      </c:pivotFmt>
      <c:pivotFmt>
        <c:idx val="5"/>
        <c:spPr>
          <a:solidFill>
            <a:srgbClr val="7030A0"/>
          </a:solidFill>
          <a:ln>
            <a:noFill/>
          </a:ln>
          <a:effectLst>
            <a:outerShdw blurRad="63500" sx="102000" sy="102000" algn="ctr" rotWithShape="0">
              <a:prstClr val="black">
                <a:alpha val="20000"/>
              </a:prstClr>
            </a:outerShdw>
          </a:effectLst>
        </c:spPr>
        <c:dLbl>
          <c:idx val="0"/>
          <c:layout>
            <c:manualLayout>
              <c:x val="-5.9661231553146066E-2"/>
              <c:y val="-8.15315888869188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30A0"/>
                  </a:solidFill>
                  <a:latin typeface="+mn-lt"/>
                  <a:ea typeface="+mn-ea"/>
                  <a:cs typeface="+mn-cs"/>
                </a:defRPr>
              </a:pPr>
              <a:endParaRPr lang="en-PE"/>
            </a:p>
          </c:txPr>
          <c:showLegendKey val="0"/>
          <c:showVal val="1"/>
          <c:showCatName val="1"/>
          <c:showSerName val="0"/>
          <c:showPercent val="0"/>
          <c:showBubbleSize val="1"/>
          <c:extLst>
            <c:ext xmlns:c15="http://schemas.microsoft.com/office/drawing/2012/chart" uri="{CE6537A1-D6FC-4f65-9D91-7224C49458BB}"/>
          </c:extLst>
        </c:dLbl>
      </c:pivotFmt>
      <c:pivotFmt>
        <c:idx val="6"/>
        <c:spPr>
          <a:solidFill>
            <a:schemeClr val="accent1"/>
          </a:solidFill>
          <a:ln>
            <a:solidFill>
              <a:schemeClr val="accent1"/>
            </a:solidFill>
          </a:ln>
          <a:effectLst>
            <a:outerShdw blurRad="63500" sx="102000" sy="102000" algn="ctr" rotWithShape="0">
              <a:prstClr val="black">
                <a:alpha val="20000"/>
              </a:prstClr>
            </a:outerShdw>
          </a:effectLst>
        </c:spPr>
        <c:dLbl>
          <c:idx val="0"/>
          <c:layout>
            <c:manualLayout>
              <c:x val="-3.2934515583034119E-2"/>
              <c:y val="-3.400397218754722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FFC000"/>
          </a:solidFill>
          <a:ln>
            <a:noFill/>
          </a:ln>
          <a:effectLst>
            <a:outerShdw blurRad="63500" sx="102000" sy="102000" algn="ctr" rotWithShape="0">
              <a:prstClr val="black">
                <a:alpha val="20000"/>
              </a:prstClr>
            </a:outerShdw>
          </a:effectLst>
        </c:spPr>
        <c:dLbl>
          <c:idx val="0"/>
          <c:layout>
            <c:manualLayout>
              <c:x val="3.7051330030913383E-2"/>
              <c:y val="-7.556438263899383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PE"/>
            </a:p>
          </c:txPr>
          <c:dLblPos val="bestFit"/>
          <c:showLegendKey val="1"/>
          <c:showVal val="1"/>
          <c:showCatName val="1"/>
          <c:showSerName val="0"/>
          <c:showPercent val="0"/>
          <c:showBubbleSize val="1"/>
          <c:extLst>
            <c:ext xmlns:c15="http://schemas.microsoft.com/office/drawing/2012/chart" uri="{CE6537A1-D6FC-4f65-9D91-7224C49458BB}"/>
          </c:extLst>
        </c:dLbl>
      </c:pivotFmt>
      <c:pivotFmt>
        <c:idx val="9"/>
        <c:spPr>
          <a:solidFill>
            <a:schemeClr val="accent6"/>
          </a:solidFill>
          <a:ln>
            <a:noFill/>
          </a:ln>
          <a:effectLst>
            <a:outerShdw blurRad="63500" sx="102000" sy="102000" algn="ctr" rotWithShape="0">
              <a:prstClr val="black">
                <a:alpha val="20000"/>
              </a:prstClr>
            </a:outerShdw>
          </a:effectLst>
        </c:spPr>
        <c:dLbl>
          <c:idx val="0"/>
          <c:layout>
            <c:manualLayout>
              <c:x val="3.9109737254852943E-2"/>
              <c:y val="7.556438263899245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PE"/>
            </a:p>
          </c:txPr>
          <c:dLblPos val="bestFit"/>
          <c:showLegendKey val="1"/>
          <c:showVal val="1"/>
          <c:showCatName val="1"/>
          <c:showSerName val="0"/>
          <c:showPercent val="0"/>
          <c:showBubbleSize val="1"/>
          <c:extLst>
            <c:ext xmlns:c15="http://schemas.microsoft.com/office/drawing/2012/chart" uri="{CE6537A1-D6FC-4f65-9D91-7224C49458BB}"/>
          </c:extLst>
        </c:dLbl>
      </c:pivotFmt>
      <c:pivotFmt>
        <c:idx val="10"/>
        <c:spPr>
          <a:solidFill>
            <a:srgbClr val="7030A0"/>
          </a:solidFill>
          <a:ln>
            <a:noFill/>
          </a:ln>
          <a:effectLst>
            <a:outerShdw blurRad="63500" sx="102000" sy="102000" algn="ctr" rotWithShape="0">
              <a:prstClr val="black">
                <a:alpha val="20000"/>
              </a:prstClr>
            </a:outerShdw>
          </a:effectLst>
        </c:spPr>
        <c:dLbl>
          <c:idx val="0"/>
          <c:layout>
            <c:manualLayout>
              <c:x val="-5.9661231553146066E-2"/>
              <c:y val="-8.15315888869188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30A0"/>
                  </a:solidFill>
                  <a:latin typeface="+mn-lt"/>
                  <a:ea typeface="+mn-ea"/>
                  <a:cs typeface="+mn-cs"/>
                </a:defRPr>
              </a:pPr>
              <a:endParaRPr lang="en-PE"/>
            </a:p>
          </c:txPr>
          <c:showLegendKey val="0"/>
          <c:showVal val="1"/>
          <c:showCatName val="1"/>
          <c:showSerName val="0"/>
          <c:showPercent val="0"/>
          <c:showBubbleSize val="1"/>
          <c:extLst>
            <c:ext xmlns:c15="http://schemas.microsoft.com/office/drawing/2012/chart" uri="{CE6537A1-D6FC-4f65-9D91-7224C49458BB}"/>
          </c:extLst>
        </c:dLbl>
      </c:pivotFmt>
      <c:pivotFmt>
        <c:idx val="11"/>
        <c:spPr>
          <a:solidFill>
            <a:schemeClr val="accent1"/>
          </a:solidFill>
          <a:ln>
            <a:solidFill>
              <a:schemeClr val="accent1"/>
            </a:solidFill>
          </a:ln>
          <a:effectLst>
            <a:outerShdw blurRad="63500" sx="102000" sy="102000" algn="ctr" rotWithShape="0">
              <a:prstClr val="black">
                <a:alpha val="20000"/>
              </a:prstClr>
            </a:outerShdw>
          </a:effectLst>
        </c:spPr>
        <c:dLbl>
          <c:idx val="0"/>
          <c:layout>
            <c:manualLayout>
              <c:x val="-3.2934515583034119E-2"/>
              <c:y val="-3.400397218754722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4"/>
          </a:solidFill>
          <a:ln>
            <a:noFill/>
          </a:ln>
          <a:effectLst>
            <a:outerShdw blurRad="63500" sx="102000" sy="102000" algn="ctr" rotWithShape="0">
              <a:prstClr val="black">
                <a:alpha val="20000"/>
              </a:prstClr>
            </a:outerShdw>
          </a:effectLst>
        </c:spPr>
        <c:dLbl>
          <c:idx val="0"/>
          <c:layout>
            <c:manualLayout>
              <c:x val="-3.9109737254853054E-2"/>
              <c:y val="4.523608248401882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P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outerShdw blurRad="63500" sx="102000" sy="102000" algn="ctr" rotWithShape="0">
              <a:prstClr val="black">
                <a:alpha val="20000"/>
              </a:prstClr>
            </a:outerShdw>
          </a:effectLst>
        </c:spPr>
        <c:dLbl>
          <c:idx val="0"/>
          <c:layout>
            <c:manualLayout>
              <c:x val="6.4724919093851127E-2"/>
              <c:y val="7.244409255502832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PE"/>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5"/>
          </a:solidFill>
          <a:ln>
            <a:noFill/>
          </a:ln>
          <a:effectLst>
            <a:outerShdw blurRad="63500" sx="102000" sy="102000" algn="ctr" rotWithShape="0">
              <a:prstClr val="black">
                <a:alpha val="20000"/>
              </a:prstClr>
            </a:outerShdw>
          </a:effectLst>
        </c:spPr>
        <c:dLbl>
          <c:idx val="0"/>
          <c:layout>
            <c:manualLayout>
              <c:x val="-3.0339805825242757E-2"/>
              <c:y val="3.622204627751316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PE"/>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7030A0"/>
          </a:solidFill>
          <a:ln>
            <a:noFill/>
          </a:ln>
          <a:effectLst>
            <a:outerShdw blurRad="63500" sx="102000" sy="102000" algn="ctr" rotWithShape="0">
              <a:prstClr val="black">
                <a:alpha val="20000"/>
              </a:prstClr>
            </a:outerShdw>
          </a:effectLst>
        </c:spPr>
        <c:dLbl>
          <c:idx val="0"/>
          <c:layout>
            <c:manualLayout>
              <c:x val="-3.293451558303416E-2"/>
              <c:y val="-3.769673540334913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8"/>
        <c:dLbl>
          <c:idx val="0"/>
          <c:layout>
            <c:manualLayout>
              <c:x val="-3.6407766990291301E-2"/>
              <c:y val="-3.622204627751451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
        <c:dLbl>
          <c:idx val="0"/>
          <c:layout>
            <c:manualLayout>
              <c:x val="-1.8203883495145651E-2"/>
              <c:y val="3.6222046277514827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Timeline!$B$3</c:f>
              <c:strCache>
                <c:ptCount val="1"/>
                <c:pt idx="0">
                  <c:v>Total</c:v>
                </c:pt>
              </c:strCache>
            </c:strRef>
          </c:tx>
          <c:dPt>
            <c:idx val="0"/>
            <c:bubble3D val="0"/>
            <c:explosion val="2"/>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6C33-4717-B213-695B3D2D1E1F}"/>
              </c:ext>
            </c:extLst>
          </c:dPt>
          <c:dPt>
            <c:idx val="1"/>
            <c:bubble3D val="0"/>
            <c:explosion val="4"/>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6C33-4717-B213-695B3D2D1E1F}"/>
              </c:ext>
            </c:extLst>
          </c:dPt>
          <c:dPt>
            <c:idx val="2"/>
            <c:bubble3D val="0"/>
            <c:explosion val="2"/>
            <c:extLst>
              <c:ext xmlns:c16="http://schemas.microsoft.com/office/drawing/2014/chart" uri="{C3380CC4-5D6E-409C-BE32-E72D297353CC}">
                <c16:uniqueId val="{0000000C-6C33-4717-B213-695B3D2D1E1F}"/>
              </c:ext>
            </c:extLst>
          </c:dPt>
          <c:dPt>
            <c:idx val="3"/>
            <c:bubble3D val="0"/>
            <c:explosion val="5"/>
            <c:extLst>
              <c:ext xmlns:c16="http://schemas.microsoft.com/office/drawing/2014/chart" uri="{C3380CC4-5D6E-409C-BE32-E72D297353CC}">
                <c16:uniqueId val="{0000000D-6C33-4717-B213-695B3D2D1E1F}"/>
              </c:ext>
            </c:extLst>
          </c:dPt>
          <c:dLbls>
            <c:dLbl>
              <c:idx val="0"/>
              <c:layout>
                <c:manualLayout>
                  <c:x val="6.4724919093851127E-2"/>
                  <c:y val="7.244409255502832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PE"/>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6C33-4717-B213-695B3D2D1E1F}"/>
                </c:ext>
              </c:extLst>
            </c:dLbl>
            <c:dLbl>
              <c:idx val="1"/>
              <c:layout>
                <c:manualLayout>
                  <c:x val="-3.0339805825242757E-2"/>
                  <c:y val="3.622204627751316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PE"/>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6C33-4717-B213-695B3D2D1E1F}"/>
                </c:ext>
              </c:extLst>
            </c:dLbl>
            <c:dLbl>
              <c:idx val="2"/>
              <c:layout>
                <c:manualLayout>
                  <c:x val="-3.6407766990291301E-2"/>
                  <c:y val="-3.622204627751451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6C33-4717-B213-695B3D2D1E1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outEnd"/>
            <c:showLegendKey val="0"/>
            <c:showVal val="0"/>
            <c:showCatName val="1"/>
            <c:showSerName val="0"/>
            <c:showPercent val="1"/>
            <c:showBubbleSize val="0"/>
            <c:showLeaderLines val="1"/>
            <c:extLst>
              <c:ext xmlns:c15="http://schemas.microsoft.com/office/drawing/2012/chart" uri="{CE6537A1-D6FC-4f65-9D91-7224C49458BB}"/>
            </c:extLst>
          </c:dLbls>
          <c:cat>
            <c:strRef>
              <c:f>Timeline!$A$4:$A$8</c:f>
              <c:strCache>
                <c:ptCount val="4"/>
                <c:pt idx="0">
                  <c:v>Quick Win</c:v>
                </c:pt>
                <c:pt idx="1">
                  <c:v>Short Term</c:v>
                </c:pt>
                <c:pt idx="2">
                  <c:v>Long Term</c:v>
                </c:pt>
                <c:pt idx="3">
                  <c:v>(blank)</c:v>
                </c:pt>
              </c:strCache>
            </c:strRef>
          </c:cat>
          <c:val>
            <c:numRef>
              <c:f>Timeline!$B$4:$B$8</c:f>
              <c:numCache>
                <c:formatCode>General</c:formatCode>
                <c:ptCount val="4"/>
                <c:pt idx="0">
                  <c:v>4</c:v>
                </c:pt>
                <c:pt idx="1">
                  <c:v>4</c:v>
                </c:pt>
                <c:pt idx="2">
                  <c:v>4</c:v>
                </c:pt>
              </c:numCache>
            </c:numRef>
          </c:val>
          <c:extLst>
            <c:ext xmlns:c16="http://schemas.microsoft.com/office/drawing/2014/chart" uri="{C3380CC4-5D6E-409C-BE32-E72D297353CC}">
              <c16:uniqueId val="{00000009-6C33-4717-B213-695B3D2D1E1F}"/>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E"/>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Owner!$A$2:$A$5</c15:sqref>
                  </c15:fullRef>
                </c:ext>
              </c:extLst>
              <c:f>Owner!$A$2:$A$4</c:f>
              <c:strCache>
                <c:ptCount val="2"/>
                <c:pt idx="0">
                  <c:v>(blank)</c:v>
                </c:pt>
                <c:pt idx="1">
                  <c:v>Grand Total</c:v>
                </c:pt>
              </c:strCache>
            </c:strRef>
          </c:cat>
          <c:val>
            <c:numRef>
              <c:extLst>
                <c:ext xmlns:c15="http://schemas.microsoft.com/office/drawing/2012/chart" uri="{02D57815-91ED-43cb-92C2-25804820EDAC}">
                  <c15:fullRef>
                    <c15:sqref>Owner!$B$2:$B$5</c15:sqref>
                  </c15:fullRef>
                </c:ext>
              </c:extLst>
              <c:f>Owner!$B$2:$B$4</c:f>
              <c:numCache>
                <c:formatCode>General</c:formatCode>
                <c:ptCount val="3"/>
                <c:pt idx="0">
                  <c:v>12</c:v>
                </c:pt>
                <c:pt idx="1">
                  <c:v>12</c:v>
                </c:pt>
              </c:numCache>
            </c:numRef>
          </c:val>
          <c:extLst>
            <c:ext xmlns:c16="http://schemas.microsoft.com/office/drawing/2014/chart" uri="{C3380CC4-5D6E-409C-BE32-E72D297353CC}">
              <c16:uniqueId val="{00000000-69D4-4DF9-A2C7-792D4D2448BF}"/>
            </c:ext>
          </c:extLst>
        </c:ser>
        <c:dLbls>
          <c:showLegendKey val="0"/>
          <c:showVal val="0"/>
          <c:showCatName val="0"/>
          <c:showSerName val="0"/>
          <c:showPercent val="0"/>
          <c:showBubbleSize val="0"/>
        </c:dLbls>
        <c:gapWidth val="115"/>
        <c:overlap val="-20"/>
        <c:axId val="1669534191"/>
        <c:axId val="1397125151"/>
      </c:barChart>
      <c:catAx>
        <c:axId val="16695341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E"/>
          </a:p>
        </c:txPr>
        <c:crossAx val="1397125151"/>
        <c:crosses val="autoZero"/>
        <c:auto val="1"/>
        <c:lblAlgn val="ctr"/>
        <c:lblOffset val="100"/>
        <c:noMultiLvlLbl val="0"/>
      </c:catAx>
      <c:valAx>
        <c:axId val="1397125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E"/>
          </a:p>
        </c:txPr>
        <c:crossAx val="1669534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[Alicorp - Recommendaciones Sourcing.xlsx]Priority!PivotTable2</c:name>
    <c:fmtId val="0"/>
  </c:pivotSource>
  <c:chart>
    <c:title>
      <c:tx>
        <c:rich>
          <a:bodyPr rot="0" spcFirstLastPara="1" vertOverflow="ellipsis" vert="horz" wrap="square" anchor="ctr" anchorCtr="1"/>
          <a:lstStyle/>
          <a:p>
            <a:pPr>
              <a:defRPr sz="1600" b="1" i="0" u="none" strike="noStrike" kern="1200" cap="all" baseline="0">
                <a:solidFill>
                  <a:schemeClr val="tx1"/>
                </a:solidFill>
                <a:latin typeface="Arial" panose="020B0604020202020204" pitchFamily="34" charset="0"/>
                <a:ea typeface="+mn-ea"/>
                <a:cs typeface="Arial" panose="020B0604020202020204" pitchFamily="34" charset="0"/>
              </a:defRPr>
            </a:pPr>
            <a:r>
              <a:rPr lang="en-US">
                <a:solidFill>
                  <a:schemeClr val="tx1"/>
                </a:solidFill>
                <a:latin typeface="Arial" panose="020B0604020202020204" pitchFamily="34" charset="0"/>
                <a:cs typeface="Arial" panose="020B0604020202020204" pitchFamily="34" charset="0"/>
              </a:rPr>
              <a:t>PRIORITY</a:t>
            </a:r>
          </a:p>
        </c:rich>
      </c:tx>
      <c:overlay val="0"/>
      <c:spPr>
        <a:noFill/>
        <a:ln>
          <a:noFill/>
        </a:ln>
        <a:effectLst/>
      </c:spPr>
    </c:title>
    <c:autoTitleDeleted val="0"/>
    <c:pivotFmts>
      <c:pivotFmt>
        <c:idx val="0"/>
        <c:spPr>
          <a:solidFill>
            <a:schemeClr val="accent6"/>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PE"/>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30A0"/>
                  </a:solidFill>
                  <a:latin typeface="+mn-lt"/>
                  <a:ea typeface="+mn-ea"/>
                  <a:cs typeface="+mn-cs"/>
                </a:defRPr>
              </a:pPr>
              <a:endParaRPr lang="en-PE"/>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PE"/>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lumMod val="50000"/>
                    </a:schemeClr>
                  </a:solidFill>
                  <a:latin typeface="+mn-lt"/>
                  <a:ea typeface="+mn-ea"/>
                  <a:cs typeface="+mn-cs"/>
                </a:defRPr>
              </a:pPr>
              <a:endParaRPr lang="en-PE"/>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lumMod val="50000"/>
                    </a:schemeClr>
                  </a:solidFill>
                  <a:latin typeface="+mn-lt"/>
                  <a:ea typeface="+mn-ea"/>
                  <a:cs typeface="+mn-cs"/>
                </a:defRPr>
              </a:pPr>
              <a:endParaRPr lang="en-PE"/>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PE"/>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7030A0"/>
          </a:solidFill>
          <a:ln>
            <a:noFill/>
          </a:ln>
          <a:effectLst>
            <a:outerShdw blurRad="63500" sx="102000" sy="102000" algn="ctr" rotWithShape="0">
              <a:prstClr val="black">
                <a:alpha val="20000"/>
              </a:prstClr>
            </a:outerShdw>
          </a:effectLst>
        </c:spPr>
        <c:dLbl>
          <c:idx val="0"/>
          <c:layout>
            <c:manualLayout>
              <c:x val="-6.2724014336917586E-2"/>
              <c:y val="-5.95647193585337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30A0"/>
                  </a:solidFill>
                  <a:latin typeface="+mn-lt"/>
                  <a:ea typeface="+mn-ea"/>
                  <a:cs typeface="+mn-cs"/>
                </a:defRPr>
              </a:pPr>
              <a:endParaRPr lang="en-P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a:outerShdw blurRad="63500" sx="102000" sy="102000" algn="ctr" rotWithShape="0">
              <a:prstClr val="black">
                <a:alpha val="20000"/>
              </a:prstClr>
            </a:outerShdw>
          </a:effectLst>
        </c:spPr>
        <c:dLbl>
          <c:idx val="0"/>
          <c:layout>
            <c:manualLayout>
              <c:x val="-3.882915173237754E-2"/>
              <c:y val="5.956471935853362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P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outerShdw blurRad="63500" sx="102000" sy="102000" algn="ctr" rotWithShape="0">
              <a:prstClr val="black">
                <a:alpha val="20000"/>
              </a:prstClr>
            </a:outerShdw>
          </a:effectLst>
        </c:spPr>
        <c:dLbl>
          <c:idx val="0"/>
          <c:layout>
            <c:manualLayout>
              <c:x val="6.869772998805268E-2"/>
              <c:y val="-2.749140893470790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P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dLbl>
          <c:idx val="0"/>
          <c:layout>
            <c:manualLayout>
              <c:x val="-3.5842293906810034E-2"/>
              <c:y val="1.37457044673539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PE"/>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Priority!$B$3</c:f>
              <c:strCache>
                <c:ptCount val="1"/>
                <c:pt idx="0">
                  <c:v>Total</c:v>
                </c:pt>
              </c:strCache>
            </c:strRef>
          </c:tx>
          <c:dPt>
            <c:idx val="0"/>
            <c:bubble3D val="0"/>
            <c:extLst>
              <c:ext xmlns:c16="http://schemas.microsoft.com/office/drawing/2014/chart" uri="{C3380CC4-5D6E-409C-BE32-E72D297353CC}">
                <c16:uniqueId val="{0000000A-C5F6-45E8-89CF-1BB00BCD2544}"/>
              </c:ext>
            </c:extLst>
          </c:dPt>
          <c:dPt>
            <c:idx val="1"/>
            <c:bubble3D val="0"/>
            <c:extLst>
              <c:ext xmlns:c16="http://schemas.microsoft.com/office/drawing/2014/chart" uri="{C3380CC4-5D6E-409C-BE32-E72D297353CC}">
                <c16:uniqueId val="{0000000C-C5F6-45E8-89CF-1BB00BCD2544}"/>
              </c:ext>
            </c:extLst>
          </c:dPt>
          <c:dPt>
            <c:idx val="2"/>
            <c:bubble3D val="0"/>
            <c:extLst>
              <c:ext xmlns:c16="http://schemas.microsoft.com/office/drawing/2014/chart" uri="{C3380CC4-5D6E-409C-BE32-E72D297353CC}">
                <c16:uniqueId val="{0000000B-C5F6-45E8-89CF-1BB00BCD2544}"/>
              </c:ext>
            </c:extLst>
          </c:dPt>
          <c:dLbls>
            <c:dLbl>
              <c:idx val="0"/>
              <c:layout>
                <c:manualLayout>
                  <c:x val="-3.5842293906810034E-2"/>
                  <c:y val="1.374570446735395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5F6-45E8-89CF-1BB00BCD254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PE"/>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Priority!$A$4:$A$5</c:f>
              <c:strCache>
                <c:ptCount val="1"/>
                <c:pt idx="0">
                  <c:v>(blank)</c:v>
                </c:pt>
              </c:strCache>
            </c:strRef>
          </c:cat>
          <c:val>
            <c:numRef>
              <c:f>Priority!$B$4:$B$5</c:f>
              <c:numCache>
                <c:formatCode>General</c:formatCode>
                <c:ptCount val="1"/>
                <c:pt idx="0">
                  <c:v>12</c:v>
                </c:pt>
              </c:numCache>
            </c:numRef>
          </c:val>
          <c:extLst>
            <c:ext xmlns:c16="http://schemas.microsoft.com/office/drawing/2014/chart" uri="{C3380CC4-5D6E-409C-BE32-E72D297353CC}">
              <c16:uniqueId val="{00000009-C5F6-45E8-89CF-1BB00BCD2544}"/>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[Alicorp - Recommendaciones Sourcing.xlsx]Category!PivotTable5</c:name>
    <c:fmtId val="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PE"/>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layout>
            <c:manualLayout>
              <c:x val="3.7983693929188822E-2"/>
              <c:y val="-2.47044291512264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layout>
            <c:manualLayout>
              <c:x val="2.7432667837747407E-2"/>
              <c:y val="1.411681665784365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PE"/>
            </a:p>
          </c:txPr>
          <c:dLblPos val="bestFit"/>
          <c:showLegendKey val="1"/>
          <c:showVal val="1"/>
          <c:showCatName val="1"/>
          <c:showSerName val="0"/>
          <c:showPercent val="0"/>
          <c:showBubbleSize val="1"/>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dLbl>
          <c:idx val="0"/>
          <c:layout>
            <c:manualLayout>
              <c:x val="0"/>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lumMod val="50000"/>
                    </a:schemeClr>
                  </a:solidFill>
                  <a:latin typeface="+mn-lt"/>
                  <a:ea typeface="+mn-ea"/>
                  <a:cs typeface="+mn-cs"/>
                </a:defRPr>
              </a:pPr>
              <a:endParaRPr lang="en-P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layout>
            <c:manualLayout>
              <c:x val="-3.320716884638357E-3"/>
              <c:y val="1.64094872756290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PE"/>
            </a:p>
          </c:txPr>
          <c:showLegendKey val="0"/>
          <c:showVal val="1"/>
          <c:showCatName val="1"/>
          <c:showSerName val="0"/>
          <c:showPercent val="0"/>
          <c:showBubbleSize val="1"/>
          <c:extLst>
            <c:ext xmlns:c15="http://schemas.microsoft.com/office/drawing/2012/chart" uri="{CE6537A1-D6FC-4f65-9D91-7224C49458BB}">
              <c15:layout>
                <c:manualLayout>
                  <c:w val="0.30763888888888891"/>
                  <c:h val="0.12689814814814815"/>
                </c:manualLayout>
              </c15:layout>
            </c:ext>
          </c:extLst>
        </c:dLbl>
      </c:pivotFmt>
      <c:pivotFmt>
        <c:idx val="5"/>
        <c:spPr>
          <a:solidFill>
            <a:schemeClr val="accent1"/>
          </a:solidFill>
          <a:ln>
            <a:noFill/>
          </a:ln>
          <a:effectLst>
            <a:outerShdw blurRad="63500" sx="102000" sy="102000" algn="ctr" rotWithShape="0">
              <a:prstClr val="black">
                <a:alpha val="20000"/>
              </a:prstClr>
            </a:outerShdw>
          </a:effectLst>
        </c:spPr>
        <c:dLbl>
          <c:idx val="0"/>
          <c:layout>
            <c:manualLayout>
              <c:x val="-8.1783425140526986E-2"/>
              <c:y val="-3.41880341880341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P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dLbl>
          <c:idx val="0"/>
          <c:layout>
            <c:manualLayout>
              <c:x val="-6.1618708178461871E-2"/>
              <c:y val="-6.3788055620146542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lumOff val="40000"/>
                      </a:schemeClr>
                    </a:solidFill>
                    <a:latin typeface="+mn-lt"/>
                    <a:ea typeface="+mn-ea"/>
                    <a:cs typeface="+mn-cs"/>
                  </a:defRPr>
                </a:pPr>
                <a:fld id="{CFAA19B7-1B2D-430D-8741-A1E1D616722E}" type="CATEGORYNAME">
                  <a:rPr lang="en-US">
                    <a:solidFill>
                      <a:schemeClr val="accent2"/>
                    </a:solidFill>
                  </a:rPr>
                  <a:pPr>
                    <a:defRPr sz="1000" b="1" i="0" u="none" strike="noStrike" kern="1200" spc="0" baseline="0">
                      <a:solidFill>
                        <a:schemeClr val="accent5">
                          <a:lumMod val="60000"/>
                          <a:lumOff val="40000"/>
                        </a:schemeClr>
                      </a:solidFill>
                      <a:latin typeface="+mn-lt"/>
                      <a:ea typeface="+mn-ea"/>
                      <a:cs typeface="+mn-cs"/>
                    </a:defRPr>
                  </a:pPr>
                  <a:t>[CATEGORY NAME]</a:t>
                </a:fld>
                <a:r>
                  <a:rPr lang="en-US" baseline="0">
                    <a:solidFill>
                      <a:schemeClr val="accent2"/>
                    </a:solidFill>
                  </a:rPr>
                  <a:t>; </a:t>
                </a:r>
                <a:fld id="{F92EFB42-96EC-4185-A63E-950FC35B6D70}" type="VALUE">
                  <a:rPr lang="en-US" baseline="0">
                    <a:solidFill>
                      <a:schemeClr val="accent2"/>
                    </a:solidFill>
                  </a:rPr>
                  <a:pPr>
                    <a:defRPr sz="1000" b="1" i="0" u="none" strike="noStrike" kern="1200" spc="0" baseline="0">
                      <a:solidFill>
                        <a:schemeClr val="accent5">
                          <a:lumMod val="60000"/>
                          <a:lumOff val="40000"/>
                        </a:schemeClr>
                      </a:solidFill>
                      <a:latin typeface="+mn-lt"/>
                      <a:ea typeface="+mn-ea"/>
                      <a:cs typeface="+mn-cs"/>
                    </a:defRPr>
                  </a:pPr>
                  <a:t>[VALUE]</a:t>
                </a:fld>
                <a:endParaRPr lang="en-US" baseline="0">
                  <a:solidFill>
                    <a:schemeClr val="accent2"/>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lumOff val="40000"/>
                    </a:schemeClr>
                  </a:solidFill>
                  <a:latin typeface="+mn-lt"/>
                  <a:ea typeface="+mn-ea"/>
                  <a:cs typeface="+mn-cs"/>
                </a:defRPr>
              </a:pPr>
              <a:endParaRPr lang="en-PE"/>
            </a:p>
          </c:txPr>
          <c:dLblPos val="bestFit"/>
          <c:showLegendKey val="0"/>
          <c:showVal val="1"/>
          <c:showCatName val="1"/>
          <c:showSerName val="0"/>
          <c:showPercent val="0"/>
          <c:showBubbleSize val="0"/>
          <c:extLst>
            <c:ext xmlns:c15="http://schemas.microsoft.com/office/drawing/2012/chart" uri="{CE6537A1-D6FC-4f65-9D91-7224C49458BB}">
              <c15:layout>
                <c:manualLayout>
                  <c:w val="0.23139197776408632"/>
                  <c:h val="0.13387046904398436"/>
                </c:manualLayout>
              </c15:layout>
              <c15:dlblFieldTable/>
              <c15:showDataLabelsRange val="0"/>
            </c:ext>
          </c:extLst>
        </c:dLbl>
      </c:pivotFmt>
      <c:pivotFmt>
        <c:idx val="7"/>
        <c:dLbl>
          <c:idx val="0"/>
          <c:layout>
            <c:manualLayout>
              <c:x val="-4.4314309584053628E-2"/>
              <c:y val="-2.117522498676548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layout>
            <c:manualLayout>
              <c:x val="3.7983693929188822E-2"/>
              <c:y val="-2.47044291512264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layout>
            <c:manualLayout>
              <c:x val="2.7432667837747407E-2"/>
              <c:y val="1.411681665784365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PE"/>
            </a:p>
          </c:txPr>
          <c:dLblPos val="bestFit"/>
          <c:showLegendKey val="1"/>
          <c:showVal val="1"/>
          <c:showCatName val="1"/>
          <c:showSerName val="0"/>
          <c:showPercent val="0"/>
          <c:showBubbleSize val="1"/>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layout>
            <c:manualLayout>
              <c:x val="-8.1783425140526986E-2"/>
              <c:y val="-3.41880341880341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P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dLbl>
          <c:idx val="0"/>
          <c:layout>
            <c:manualLayout>
              <c:x val="-6.1618708178461871E-2"/>
              <c:y val="-6.3788055620146542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lumOff val="40000"/>
                      </a:schemeClr>
                    </a:solidFill>
                    <a:latin typeface="+mn-lt"/>
                    <a:ea typeface="+mn-ea"/>
                    <a:cs typeface="+mn-cs"/>
                  </a:defRPr>
                </a:pPr>
                <a:fld id="{CFAA19B7-1B2D-430D-8741-A1E1D616722E}" type="CATEGORYNAME">
                  <a:rPr lang="en-US">
                    <a:solidFill>
                      <a:schemeClr val="accent2"/>
                    </a:solidFill>
                  </a:rPr>
                  <a:pPr>
                    <a:defRPr sz="1000" b="1" i="0" u="none" strike="noStrike" kern="1200" spc="0" baseline="0">
                      <a:solidFill>
                        <a:schemeClr val="accent5">
                          <a:lumMod val="60000"/>
                          <a:lumOff val="40000"/>
                        </a:schemeClr>
                      </a:solidFill>
                      <a:latin typeface="+mn-lt"/>
                      <a:ea typeface="+mn-ea"/>
                      <a:cs typeface="+mn-cs"/>
                    </a:defRPr>
                  </a:pPr>
                  <a:t>[CATEGORY NAME]</a:t>
                </a:fld>
                <a:r>
                  <a:rPr lang="en-US" baseline="0">
                    <a:solidFill>
                      <a:schemeClr val="accent2"/>
                    </a:solidFill>
                  </a:rPr>
                  <a:t>; </a:t>
                </a:r>
                <a:fld id="{F92EFB42-96EC-4185-A63E-950FC35B6D70}" type="VALUE">
                  <a:rPr lang="en-US" baseline="0">
                    <a:solidFill>
                      <a:schemeClr val="accent2"/>
                    </a:solidFill>
                  </a:rPr>
                  <a:pPr>
                    <a:defRPr sz="1000" b="1" i="0" u="none" strike="noStrike" kern="1200" spc="0" baseline="0">
                      <a:solidFill>
                        <a:schemeClr val="accent5">
                          <a:lumMod val="60000"/>
                          <a:lumOff val="40000"/>
                        </a:schemeClr>
                      </a:solidFill>
                      <a:latin typeface="+mn-lt"/>
                      <a:ea typeface="+mn-ea"/>
                      <a:cs typeface="+mn-cs"/>
                    </a:defRPr>
                  </a:pPr>
                  <a:t>[VALUE]</a:t>
                </a:fld>
                <a:endParaRPr lang="en-US" baseline="0">
                  <a:solidFill>
                    <a:schemeClr val="accent2"/>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lumOff val="40000"/>
                    </a:schemeClr>
                  </a:solidFill>
                  <a:latin typeface="+mn-lt"/>
                  <a:ea typeface="+mn-ea"/>
                  <a:cs typeface="+mn-cs"/>
                </a:defRPr>
              </a:pPr>
              <a:endParaRPr lang="en-PE"/>
            </a:p>
          </c:txPr>
          <c:dLblPos val="bestFit"/>
          <c:showLegendKey val="0"/>
          <c:showVal val="1"/>
          <c:showCatName val="1"/>
          <c:showSerName val="0"/>
          <c:showPercent val="0"/>
          <c:showBubbleSize val="0"/>
          <c:extLst>
            <c:ext xmlns:c15="http://schemas.microsoft.com/office/drawing/2012/chart" uri="{CE6537A1-D6FC-4f65-9D91-7224C49458BB}">
              <c15:layout>
                <c:manualLayout>
                  <c:w val="0.23139197776408632"/>
                  <c:h val="0.13387046904398436"/>
                </c:manualLayout>
              </c15:layout>
              <c15:dlblFieldTable/>
              <c15:showDataLabelsRange val="0"/>
            </c:ext>
          </c:extLst>
        </c:dLbl>
      </c:pivotFmt>
      <c:pivotFmt>
        <c:idx val="13"/>
        <c:dLbl>
          <c:idx val="0"/>
          <c:layout>
            <c:manualLayout>
              <c:x val="-4.4314309584053628E-2"/>
              <c:y val="-2.117522498676548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63500" sx="102000" sy="102000" algn="ctr" rotWithShape="0">
              <a:prstClr val="black">
                <a:alpha val="20000"/>
              </a:prstClr>
            </a:outerShdw>
          </a:effectLst>
        </c:spPr>
      </c:pivotFmt>
      <c:pivotFmt>
        <c:idx val="16"/>
        <c:spPr>
          <a:solidFill>
            <a:schemeClr val="accent1"/>
          </a:solidFill>
          <a:ln>
            <a:noFill/>
          </a:ln>
          <a:effectLst>
            <a:outerShdw blurRad="63500" sx="102000" sy="102000" algn="ctr" rotWithShape="0">
              <a:prstClr val="black">
                <a:alpha val="20000"/>
              </a:prstClr>
            </a:outerShdw>
          </a:effectLst>
        </c:spPr>
        <c:dLbl>
          <c:idx val="0"/>
          <c:layout>
            <c:manualLayout>
              <c:x val="3.3763283492612289E-2"/>
              <c:y val="1.05652403592181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P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7"/>
        <c:spPr>
          <a:solidFill>
            <a:srgbClr val="7030A0"/>
          </a:solidFill>
          <a:ln>
            <a:noFill/>
          </a:ln>
          <a:effectLst>
            <a:outerShdw blurRad="63500" sx="102000" sy="102000" algn="ctr" rotWithShape="0">
              <a:prstClr val="black">
                <a:alpha val="20000"/>
              </a:prstClr>
            </a:outerShdw>
          </a:effectLst>
        </c:spPr>
      </c:pivotFmt>
      <c:pivotFmt>
        <c:idx val="18"/>
        <c:spPr>
          <a:solidFill>
            <a:schemeClr val="accent2"/>
          </a:solidFill>
          <a:ln>
            <a:noFill/>
          </a:ln>
          <a:effectLst>
            <a:outerShdw blurRad="63500" sx="102000" sy="102000" algn="ctr" rotWithShape="0">
              <a:prstClr val="black">
                <a:alpha val="20000"/>
              </a:prstClr>
            </a:outerShdw>
          </a:effectLst>
        </c:spPr>
      </c:pivotFmt>
      <c:pivotFmt>
        <c:idx val="19"/>
        <c:spPr>
          <a:solidFill>
            <a:schemeClr val="accent6"/>
          </a:solidFill>
          <a:ln>
            <a:noFill/>
          </a:ln>
          <a:effectLst>
            <a:outerShdw blurRad="63500" sx="102000" sy="102000" algn="ctr" rotWithShape="0">
              <a:prstClr val="black">
                <a:alpha val="20000"/>
              </a:prstClr>
            </a:outerShdw>
          </a:effectLst>
        </c:spPr>
      </c:pivotFmt>
      <c:pivotFmt>
        <c:idx val="2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Category!$B$3</c:f>
              <c:strCache>
                <c:ptCount val="1"/>
                <c:pt idx="0">
                  <c:v>Total</c:v>
                </c:pt>
              </c:strCache>
            </c:strRef>
          </c:tx>
          <c:spPr>
            <a:solidFill>
              <a:schemeClr val="accent1"/>
            </a:solidFill>
            <a:ln>
              <a:noFill/>
            </a:ln>
            <a:effectLst>
              <a:outerShdw blurRad="63500" sx="102000" sy="102000" algn="ctr" rotWithShape="0">
                <a:prstClr val="black">
                  <a:alpha val="20000"/>
                </a:prstClr>
              </a:outerShdw>
            </a:effectLst>
          </c:spPr>
          <c:invertIfNegative val="0"/>
          <c:dPt>
            <c:idx val="0"/>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C600-4069-B57A-08EC7148E5B4}"/>
              </c:ext>
            </c:extLst>
          </c:dPt>
          <c:dPt>
            <c:idx val="1"/>
            <c:invertIfNegative val="0"/>
            <c:bubble3D val="0"/>
            <c:extLst>
              <c:ext xmlns:c16="http://schemas.microsoft.com/office/drawing/2014/chart" uri="{C3380CC4-5D6E-409C-BE32-E72D297353CC}">
                <c16:uniqueId val="{0000000B-C600-4069-B57A-08EC7148E5B4}"/>
              </c:ext>
            </c:extLst>
          </c:dPt>
          <c:dPt>
            <c:idx val="2"/>
            <c:invertIfNegative val="0"/>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C600-4069-B57A-08EC7148E5B4}"/>
              </c:ext>
            </c:extLst>
          </c:dPt>
          <c:dPt>
            <c:idx val="3"/>
            <c:invertIfNegative val="0"/>
            <c:bubble3D val="0"/>
            <c:extLst>
              <c:ext xmlns:c16="http://schemas.microsoft.com/office/drawing/2014/chart" uri="{C3380CC4-5D6E-409C-BE32-E72D297353CC}">
                <c16:uniqueId val="{00000006-42F5-49A1-ABBB-46BEEC3B53D9}"/>
              </c:ext>
            </c:extLst>
          </c:dPt>
          <c:dPt>
            <c:idx val="4"/>
            <c:invertIfNegative val="0"/>
            <c:bubble3D val="0"/>
            <c:extLst>
              <c:ext xmlns:c16="http://schemas.microsoft.com/office/drawing/2014/chart" uri="{C3380CC4-5D6E-409C-BE32-E72D297353CC}">
                <c16:uniqueId val="{00000007-42F5-49A1-ABBB-46BEEC3B53D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Category!$A$4:$A$8</c:f>
              <c:strCache>
                <c:ptCount val="4"/>
                <c:pt idx="0">
                  <c:v>Feature Adoption</c:v>
                </c:pt>
                <c:pt idx="1">
                  <c:v>Q&amp;A</c:v>
                </c:pt>
                <c:pt idx="2">
                  <c:v>Process Change</c:v>
                </c:pt>
                <c:pt idx="3">
                  <c:v>(blank)</c:v>
                </c:pt>
              </c:strCache>
            </c:strRef>
          </c:cat>
          <c:val>
            <c:numRef>
              <c:f>Category!$B$4:$B$8</c:f>
              <c:numCache>
                <c:formatCode>General</c:formatCode>
                <c:ptCount val="4"/>
                <c:pt idx="0">
                  <c:v>4</c:v>
                </c:pt>
                <c:pt idx="1">
                  <c:v>4</c:v>
                </c:pt>
                <c:pt idx="2">
                  <c:v>4</c:v>
                </c:pt>
              </c:numCache>
            </c:numRef>
          </c:val>
          <c:extLst>
            <c:ext xmlns:c16="http://schemas.microsoft.com/office/drawing/2014/chart" uri="{C3380CC4-5D6E-409C-BE32-E72D297353CC}">
              <c16:uniqueId val="{00000009-C600-4069-B57A-08EC7148E5B4}"/>
            </c:ext>
          </c:extLst>
        </c:ser>
        <c:dLbls>
          <c:showLegendKey val="0"/>
          <c:showVal val="0"/>
          <c:showCatName val="0"/>
          <c:showSerName val="0"/>
          <c:showPercent val="0"/>
          <c:showBubbleSize val="0"/>
        </c:dLbls>
        <c:gapWidth val="100"/>
        <c:axId val="494556008"/>
        <c:axId val="494560272"/>
      </c:barChart>
      <c:catAx>
        <c:axId val="4945560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E"/>
          </a:p>
        </c:txPr>
        <c:crossAx val="494560272"/>
        <c:crosses val="autoZero"/>
        <c:auto val="1"/>
        <c:lblAlgn val="ctr"/>
        <c:lblOffset val="100"/>
        <c:noMultiLvlLbl val="0"/>
      </c:catAx>
      <c:valAx>
        <c:axId val="49456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E"/>
          </a:p>
        </c:txPr>
        <c:crossAx val="494556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[Alicorp - Recommendaciones Sourcing.xlsx]12KeysToSucess!PivotTable6</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12 KEYS TO SUCESS</a:t>
            </a:r>
            <a:endParaRPr lang="pt-B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PE"/>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E"/>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3"/>
        <c:spPr>
          <a:solidFill>
            <a:schemeClr val="accent2"/>
          </a:solidFill>
          <a:ln>
            <a:noFill/>
          </a:ln>
          <a:effectLst>
            <a:outerShdw blurRad="57150" dist="19050" dir="5400000" algn="ctr" rotWithShape="0">
              <a:srgbClr val="000000">
                <a:alpha val="63000"/>
              </a:srgbClr>
            </a:outerShdw>
          </a:effectLst>
        </c:spPr>
      </c:pivotFmt>
      <c:pivotFmt>
        <c:idx val="4"/>
        <c:spPr>
          <a:solidFill>
            <a:schemeClr val="accent2"/>
          </a:solidFill>
          <a:ln>
            <a:noFill/>
          </a:ln>
          <a:effectLst>
            <a:outerShdw blurRad="57150" dist="19050" dir="5400000" algn="ctr" rotWithShape="0">
              <a:srgbClr val="000000">
                <a:alpha val="63000"/>
              </a:srgbClr>
            </a:outerShdw>
          </a:effectLst>
        </c:spPr>
      </c:pivotFmt>
      <c:pivotFmt>
        <c:idx val="5"/>
        <c:spPr>
          <a:solidFill>
            <a:schemeClr val="accent1"/>
          </a:solidFill>
          <a:ln>
            <a:noFill/>
          </a:ln>
          <a:effectLst>
            <a:outerShdw blurRad="57150" dist="19050" dir="5400000" algn="ctr" rotWithShape="0">
              <a:srgbClr val="000000">
                <a:alpha val="63000"/>
              </a:srgbClr>
            </a:outerShdw>
          </a:effectLst>
        </c:spPr>
      </c:pivotFmt>
      <c:pivotFmt>
        <c:idx val="6"/>
        <c:spPr>
          <a:solidFill>
            <a:schemeClr val="accent2"/>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'12KeysToSucess'!$B$1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CFAF-4FFC-B3BC-88B6CF261989}"/>
              </c:ext>
            </c:extLst>
          </c:dPt>
          <c:dPt>
            <c:idx val="1"/>
            <c:invertIfNegative val="0"/>
            <c:bubble3D val="0"/>
            <c:extLst>
              <c:ext xmlns:c16="http://schemas.microsoft.com/office/drawing/2014/chart" uri="{C3380CC4-5D6E-409C-BE32-E72D297353CC}">
                <c16:uniqueId val="{00000001-CFAF-4FFC-B3BC-88B6CF261989}"/>
              </c:ext>
            </c:extLst>
          </c:dPt>
          <c:dPt>
            <c:idx val="2"/>
            <c:invertIfNegative val="0"/>
            <c:bubble3D val="0"/>
            <c:extLst>
              <c:ext xmlns:c16="http://schemas.microsoft.com/office/drawing/2014/chart" uri="{C3380CC4-5D6E-409C-BE32-E72D297353CC}">
                <c16:uniqueId val="{00000002-CFAF-4FFC-B3BC-88B6CF261989}"/>
              </c:ext>
            </c:extLst>
          </c:dPt>
          <c:dPt>
            <c:idx val="3"/>
            <c:invertIfNegative val="0"/>
            <c:bubble3D val="0"/>
            <c:extLst>
              <c:ext xmlns:c16="http://schemas.microsoft.com/office/drawing/2014/chart" uri="{C3380CC4-5D6E-409C-BE32-E72D297353CC}">
                <c16:uniqueId val="{00000005-9927-4F0B-A297-CF79E75B6F8B}"/>
              </c:ext>
            </c:extLst>
          </c:dPt>
          <c:dPt>
            <c:idx val="4"/>
            <c:invertIfNegative val="0"/>
            <c:bubble3D val="0"/>
            <c:extLst>
              <c:ext xmlns:c16="http://schemas.microsoft.com/office/drawing/2014/chart" uri="{C3380CC4-5D6E-409C-BE32-E72D297353CC}">
                <c16:uniqueId val="{00000007-9927-4F0B-A297-CF79E75B6F8B}"/>
              </c:ext>
            </c:extLst>
          </c:dPt>
          <c:dPt>
            <c:idx val="5"/>
            <c:invertIfNegative val="0"/>
            <c:bubble3D val="0"/>
            <c:extLst>
              <c:ext xmlns:c16="http://schemas.microsoft.com/office/drawing/2014/chart" uri="{C3380CC4-5D6E-409C-BE32-E72D297353CC}">
                <c16:uniqueId val="{00000005-3ABA-42BB-9DCC-CB3EB21176E5}"/>
              </c:ext>
            </c:extLst>
          </c:dPt>
          <c:dPt>
            <c:idx val="6"/>
            <c:invertIfNegative val="0"/>
            <c:bubble3D val="0"/>
            <c:extLst>
              <c:ext xmlns:c16="http://schemas.microsoft.com/office/drawing/2014/chart" uri="{C3380CC4-5D6E-409C-BE32-E72D297353CC}">
                <c16:uniqueId val="{00000008-01D3-4EA6-9DAC-D00384F3FD8B}"/>
              </c:ext>
            </c:extLst>
          </c:dPt>
          <c:dPt>
            <c:idx val="7"/>
            <c:invertIfNegative val="0"/>
            <c:bubble3D val="0"/>
            <c:extLst>
              <c:ext xmlns:c16="http://schemas.microsoft.com/office/drawing/2014/chart" uri="{C3380CC4-5D6E-409C-BE32-E72D297353CC}">
                <c16:uniqueId val="{00000008-3D58-40DB-8CDA-B9E70F7213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E"/>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'12KeysToSucess'!$A$2:$A$7</c:f>
              <c:strCache>
                <c:ptCount val="5"/>
                <c:pt idx="0">
                  <c:v>Process Refinement</c:v>
                </c:pt>
                <c:pt idx="1">
                  <c:v>Training</c:v>
                </c:pt>
                <c:pt idx="2">
                  <c:v>Cross Functional Collaboration</c:v>
                </c:pt>
                <c:pt idx="3">
                  <c:v>Program Vision &amp; Business Case</c:v>
                </c:pt>
                <c:pt idx="4">
                  <c:v>(blank)</c:v>
                </c:pt>
              </c:strCache>
            </c:strRef>
          </c:cat>
          <c:val>
            <c:numRef>
              <c:f>'12KeysToSucess'!$B$2:$B$7</c:f>
              <c:numCache>
                <c:formatCode>General</c:formatCode>
                <c:ptCount val="5"/>
                <c:pt idx="0">
                  <c:v>5</c:v>
                </c:pt>
                <c:pt idx="1">
                  <c:v>4</c:v>
                </c:pt>
                <c:pt idx="2">
                  <c:v>2</c:v>
                </c:pt>
                <c:pt idx="3">
                  <c:v>1</c:v>
                </c:pt>
              </c:numCache>
            </c:numRef>
          </c:val>
          <c:extLst>
            <c:ext xmlns:c16="http://schemas.microsoft.com/office/drawing/2014/chart" uri="{C3380CC4-5D6E-409C-BE32-E72D297353CC}">
              <c16:uniqueId val="{00000001-38EC-4A77-B210-5B053876F2AD}"/>
            </c:ext>
          </c:extLst>
        </c:ser>
        <c:dLbls>
          <c:showLegendKey val="0"/>
          <c:showVal val="0"/>
          <c:showCatName val="0"/>
          <c:showSerName val="0"/>
          <c:showPercent val="0"/>
          <c:showBubbleSize val="0"/>
        </c:dLbls>
        <c:gapWidth val="100"/>
        <c:overlap val="-24"/>
        <c:axId val="774672752"/>
        <c:axId val="774673080"/>
      </c:barChart>
      <c:catAx>
        <c:axId val="7746727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E"/>
          </a:p>
        </c:txPr>
        <c:crossAx val="774673080"/>
        <c:crosses val="autoZero"/>
        <c:auto val="1"/>
        <c:lblAlgn val="ctr"/>
        <c:lblOffset val="100"/>
        <c:noMultiLvlLbl val="0"/>
      </c:catAx>
      <c:valAx>
        <c:axId val="77467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E"/>
          </a:p>
        </c:txPr>
        <c:crossAx val="774672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E"/>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495300</xdr:colOff>
      <xdr:row>1</xdr:row>
      <xdr:rowOff>129540</xdr:rowOff>
    </xdr:from>
    <xdr:to>
      <xdr:col>10</xdr:col>
      <xdr:colOff>190500</xdr:colOff>
      <xdr:row>16</xdr:row>
      <xdr:rowOff>129540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2</xdr:row>
      <xdr:rowOff>7620</xdr:rowOff>
    </xdr:from>
    <xdr:to>
      <xdr:col>9</xdr:col>
      <xdr:colOff>365760</xdr:colOff>
      <xdr:row>16</xdr:row>
      <xdr:rowOff>112395</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297181</xdr:colOff>
      <xdr:row>2</xdr:row>
      <xdr:rowOff>60960</xdr:rowOff>
    </xdr:from>
    <xdr:to>
      <xdr:col>10</xdr:col>
      <xdr:colOff>279400</xdr:colOff>
      <xdr:row>20</xdr:row>
      <xdr:rowOff>138112</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563880</xdr:colOff>
      <xdr:row>2</xdr:row>
      <xdr:rowOff>167640</xdr:rowOff>
    </xdr:from>
    <xdr:to>
      <xdr:col>10</xdr:col>
      <xdr:colOff>259080</xdr:colOff>
      <xdr:row>17</xdr:row>
      <xdr:rowOff>167640</xdr:rowOff>
    </xdr:to>
    <xdr:graphicFrame macro="">
      <xdr:nvGraphicFramePr>
        <xdr:cNvPr id="2" name="Chart 1">
          <a:extLst>
            <a:ext uri="{FF2B5EF4-FFF2-40B4-BE49-F238E27FC236}">
              <a16:creationId xmlns:a16="http://schemas.microsoft.com/office/drawing/2014/main" id="{04890BF3-B36C-4808-A69B-6D04E559C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403860</xdr:colOff>
      <xdr:row>2</xdr:row>
      <xdr:rowOff>45720</xdr:rowOff>
    </xdr:from>
    <xdr:to>
      <xdr:col>9</xdr:col>
      <xdr:colOff>388620</xdr:colOff>
      <xdr:row>17</xdr:row>
      <xdr:rowOff>74295</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167640</xdr:colOff>
      <xdr:row>1</xdr:row>
      <xdr:rowOff>167640</xdr:rowOff>
    </xdr:from>
    <xdr:to>
      <xdr:col>12</xdr:col>
      <xdr:colOff>90012</xdr:colOff>
      <xdr:row>21</xdr:row>
      <xdr:rowOff>116205</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586740</xdr:colOff>
      <xdr:row>0</xdr:row>
      <xdr:rowOff>160020</xdr:rowOff>
    </xdr:from>
    <xdr:to>
      <xdr:col>15</xdr:col>
      <xdr:colOff>198120</xdr:colOff>
      <xdr:row>22</xdr:row>
      <xdr:rowOff>114300</xdr:rowOff>
    </xdr:to>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ontes, Ricardo" refreshedDate="44068.761558564816" createdVersion="6" refreshedVersion="6" minRefreshableVersion="3" recordCount="12" xr:uid="{B36F95F2-D1C7-4520-84E6-BD44FE005161}">
  <cacheSource type="worksheet">
    <worksheetSource ref="A2:U11" sheet="Observations"/>
  </cacheSource>
  <cacheFields count="24">
    <cacheField name="#" numFmtId="0">
      <sharedItems containsSemiMixedTypes="0" containsString="0" containsNumber="1" containsInteger="1" minValue="1" maxValue="12"/>
    </cacheField>
    <cacheField name="Solution" numFmtId="0">
      <sharedItems/>
    </cacheField>
    <cacheField name="Observation/Pain Point" numFmtId="0">
      <sharedItems longText="1"/>
    </cacheField>
    <cacheField name="Comments" numFmtId="0">
      <sharedItems containsBlank="1"/>
    </cacheField>
    <cacheField name="Recommendations" numFmtId="0">
      <sharedItems longText="1"/>
    </cacheField>
    <cacheField name="Category" numFmtId="0">
      <sharedItems containsBlank="1"/>
    </cacheField>
    <cacheField name="Impact" numFmtId="0">
      <sharedItems/>
    </cacheField>
    <cacheField name="Effort" numFmtId="0">
      <sharedItems/>
    </cacheField>
    <cacheField name="Timeline" numFmtId="0">
      <sharedItems/>
    </cacheField>
    <cacheField name="Benefits" numFmtId="0">
      <sharedItems containsBlank="1"/>
    </cacheField>
    <cacheField name="12 Keys To Success" numFmtId="0">
      <sharedItems/>
    </cacheField>
    <cacheField name="How-to" numFmtId="0">
      <sharedItems/>
    </cacheField>
    <cacheField name="Light Demo" numFmtId="0">
      <sharedItems/>
    </cacheField>
    <cacheField name="Further Services" numFmtId="0">
      <sharedItems/>
    </cacheField>
    <cacheField name="Links to Documentation" numFmtId="0">
      <sharedItems containsBlank="1"/>
    </cacheField>
    <cacheField name="Links to Videos" numFmtId="0">
      <sharedItems containsBlank="1"/>
    </cacheField>
    <cacheField name="Links to Webinars" numFmtId="0">
      <sharedItems containsBlank="1"/>
    </cacheField>
    <cacheField name="Attachments/Videos" numFmtId="0">
      <sharedItems containsBlank="1"/>
    </cacheField>
    <cacheField name="Owner" numFmtId="0">
      <sharedItems/>
    </cacheField>
    <cacheField name="Priority" numFmtId="0">
      <sharedItems containsNonDate="0" containsString="0" containsBlank="1" count="1">
        <m/>
      </sharedItems>
    </cacheField>
    <cacheField name="Recommendation Status" numFmtId="0">
      <sharedItems containsNonDate="0" containsString="0" containsBlank="1"/>
    </cacheField>
    <cacheField name="Start Date" numFmtId="0">
      <sharedItems containsNonDate="0" containsString="0" containsBlank="1"/>
    </cacheField>
    <cacheField name="Complete Date" numFmtId="0">
      <sharedItems containsNonDate="0" containsString="0" containsBlank="1"/>
    </cacheField>
    <cacheField name="KPI (How to measur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532.65299166667" createdVersion="6" refreshedVersion="7" minRefreshableVersion="3" recordCount="18" xr:uid="{2465434F-0F65-4F67-A359-C034238D34D2}">
  <cacheSource type="worksheet">
    <worksheetSource ref="A2:U20" sheet="Observations"/>
  </cacheSource>
  <cacheFields count="21">
    <cacheField name="#" numFmtId="0">
      <sharedItems containsString="0" containsBlank="1" containsNumber="1" containsInteger="1" minValue="2" maxValue="14"/>
    </cacheField>
    <cacheField name="Solution" numFmtId="0">
      <sharedItems containsBlank="1" count="5">
        <s v="SIPM"/>
        <s v="Sourcing"/>
        <m/>
        <s v="Overall" u="1"/>
        <s v="SLP" u="1"/>
      </sharedItems>
    </cacheField>
    <cacheField name="Observation/Pain Point" numFmtId="0">
      <sharedItems containsBlank="1"/>
    </cacheField>
    <cacheField name="Comments" numFmtId="0">
      <sharedItems containsBlank="1"/>
    </cacheField>
    <cacheField name="Recommendations" numFmtId="0">
      <sharedItems containsBlank="1" longText="1"/>
    </cacheField>
    <cacheField name="Category" numFmtId="0">
      <sharedItems containsBlank="1" count="4">
        <s v="Process Change"/>
        <s v="Q&amp;A"/>
        <s v="Feature Adoption"/>
        <m/>
      </sharedItems>
    </cacheField>
    <cacheField name="Impact" numFmtId="0">
      <sharedItems containsBlank="1" count="4">
        <s v="High"/>
        <s v="Low"/>
        <s v="Medium"/>
        <m/>
      </sharedItems>
    </cacheField>
    <cacheField name="Effort" numFmtId="0">
      <sharedItems containsBlank="1"/>
    </cacheField>
    <cacheField name="Timeline" numFmtId="0">
      <sharedItems containsBlank="1" count="5">
        <s v="Long Term"/>
        <s v="Quick Win"/>
        <s v="Short Term"/>
        <m/>
        <s v="Mid Term" u="1"/>
      </sharedItems>
    </cacheField>
    <cacheField name="Benefits" numFmtId="0">
      <sharedItems containsBlank="1"/>
    </cacheField>
    <cacheField name="12 Keys To Success" numFmtId="0">
      <sharedItems containsBlank="1" count="7">
        <s v="Process Refinement"/>
        <s v="Training"/>
        <s v="Program Vision &amp; Business Case"/>
        <s v="Cross Functional Collaboration"/>
        <m/>
        <s v="Governance" u="1"/>
        <s v="Communication" u="1"/>
      </sharedItems>
    </cacheField>
    <cacheField name="How-to" numFmtId="0">
      <sharedItems containsBlank="1"/>
    </cacheField>
    <cacheField name="Light Demo" numFmtId="0">
      <sharedItems containsBlank="1"/>
    </cacheField>
    <cacheField name="Further Services" numFmtId="0">
      <sharedItems containsBlank="1"/>
    </cacheField>
    <cacheField name="Links to Documentation" numFmtId="0">
      <sharedItems containsBlank="1"/>
    </cacheField>
    <cacheField name="Owner" numFmtId="0">
      <sharedItems containsNonDate="0" containsBlank="1" count="4">
        <m/>
        <s v="Delivery / Services" u="1"/>
        <s v="Customer" u="1"/>
        <s v="Support" u="1"/>
      </sharedItems>
    </cacheField>
    <cacheField name="Priority" numFmtId="0">
      <sharedItems containsNonDate="0" containsString="0" containsBlank="1"/>
    </cacheField>
    <cacheField name="Recommendation Status" numFmtId="0">
      <sharedItems containsNonDate="0" containsString="0" containsBlank="1"/>
    </cacheField>
    <cacheField name="Start Date" numFmtId="0">
      <sharedItems containsNonDate="0" containsString="0" containsBlank="1"/>
    </cacheField>
    <cacheField name="Complete Date" numFmtId="0">
      <sharedItems containsNonDate="0" containsString="0" containsBlank="1"/>
    </cacheField>
    <cacheField name="KPI (How to measur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1"/>
    <s v="Overall"/>
    <s v="Existen compradores que re-utilizan usuarios, no se ha dado el acceso adecuado."/>
    <s v="Proceso interno de Komatsu"/>
    <s v="Desactivar las cuentas de usuarios que salieron de la empresa o no usan más Ariba; para regularizar el acceso crear cuentas para los compradores que necesiten."/>
    <s v="Process Change"/>
    <s v="Medium"/>
    <s v="Low"/>
    <s v="Quick Win"/>
    <m/>
    <s v="Governance"/>
    <s v="Yes"/>
    <s v="No"/>
    <s v="No"/>
    <m/>
    <s v="Sourcing Suite of Products: Replace User in Projects"/>
    <m/>
    <s v="Superusuarios y seguridad July 2020.pdf"/>
    <s v="Customer"/>
    <x v="0"/>
    <m/>
    <m/>
    <m/>
    <m/>
  </r>
  <r>
    <n v="2"/>
    <s v="Overall"/>
    <s v="En el realm de test existen cambios que no se pudieron pasar a producción por falta de conocimiento"/>
    <m/>
    <s v="Capacitación formal acerca de Administración de plantillas a los administradores de Ariba en Komatsu. Sin embargo, el equipo de Komatsu puede revisar es tema través de la documentación y videos presentados aquí."/>
    <s v="Q&amp;A"/>
    <s v="High"/>
    <s v="Medium"/>
    <s v="Quick Win"/>
    <m/>
    <s v="Training"/>
    <s v="Yes"/>
    <s v="No"/>
    <s v="Yes"/>
    <s v="Guía de plantillas de proyecto"/>
    <m/>
    <s v="Taller de Administración"/>
    <m/>
    <s v="Delivery / Services"/>
    <x v="0"/>
    <m/>
    <m/>
    <m/>
    <m/>
  </r>
  <r>
    <n v="3"/>
    <s v="Overall"/>
    <s v="Reforzar el control de licencias y actualización de miembros de equipo"/>
    <m/>
    <s v="Revisar el documento “How to run Sourcing, SIPM &amp; CM Usage Reports – Customer” y el archivo Detalle de licencias SAP Ariba Strategic Sourcing.xlsx. Esta documentación indica claramente como controlar el uso de licencias en las soluciones SAP Ariba Sourcing, Contratos y SIPM/SLP."/>
    <s v="Q&amp;A"/>
    <s v="High"/>
    <s v="Low"/>
    <s v="Quick Win"/>
    <m/>
    <s v="Training"/>
    <s v="Yes"/>
    <s v="No"/>
    <s v="No"/>
    <m/>
    <m/>
    <m/>
    <s v="Ver las guías &quot;Como reportar uso de Sourcing, SIPM &amp; CM Usage Reports&quot; y &quot;Detalle de licencias SAP Ariba Strategic Sourcing&quot;"/>
    <s v="Customer"/>
    <x v="0"/>
    <m/>
    <m/>
    <m/>
    <m/>
  </r>
  <r>
    <n v="4"/>
    <s v="Overall"/>
    <s v="Reforzar capacitación con usuarios nuevos."/>
    <s v="No existe una adecuada transferencia de información.  Actualizar los manuales para compradores – proveedores (proceso interno Komatsu)"/>
    <s v="Desarrollar / actualizar las guías del proceso Komatsu que se ocupar por SAP Ariba para habilitar usuarios de acuerdo con su role en el sistema – Solicitante, Comprador, Aprobador, Administrador de contratos, Gestión de Proveedores y jefes de equipo. Apalancar los webinars de BPC para ayudaren el conocimiento genérico de Ariba.    "/>
    <s v="Process Change"/>
    <s v="High"/>
    <s v="Low"/>
    <s v="Quick Win"/>
    <m/>
    <s v="Training"/>
    <s v="Yes"/>
    <s v="No"/>
    <s v="No"/>
    <s v="Documentación y aprendizaje"/>
    <m/>
    <s v="Biblioteca de Webinars de BPC"/>
    <m/>
    <s v="Customer"/>
    <x v="0"/>
    <m/>
    <m/>
    <m/>
    <m/>
  </r>
  <r>
    <n v="5"/>
    <s v="Overall"/>
    <s v="La sesión de usuario se corta muchas veces"/>
    <s v="Revisar internamente con TI Komatsu"/>
    <s v="Ariba proporciona un tiempo de espera de 30 minutos para las sesiones de usuario inactivas.  Por razones de seguridad para proteger los datos del usuario, este límite de duración de la sesión no se puede cambiar. Si en el sitio de Komatsu la sesión de usuarios se corta antes de este tiempo o muchas veces, revisar con la TI interna o levantar un SR al soporte de SAP Ariba para investigar."/>
    <s v="Q&amp;A"/>
    <s v="High"/>
    <s v="Low"/>
    <s v="Quick Win"/>
    <m/>
    <s v="Communication"/>
    <s v="Yes"/>
    <s v="No"/>
    <s v="No"/>
    <s v="SAP Ariba Connect: FAQ 181461 - How long can I be logged in before seeing the YOUR SESSION IS ABOUT TO TIME OUT message?"/>
    <m/>
    <m/>
    <m/>
    <s v="Customer"/>
    <x v="0"/>
    <m/>
    <m/>
    <m/>
    <m/>
  </r>
  <r>
    <n v="6"/>
    <s v="Sourcing"/>
    <s v="El proceso inicia con la solicitud de sourcing por parte del usuario, pero existe desconocimiento de la carga de artículos en línea a través de archivo de Excel. Genera retrajo para el comprador"/>
    <s v="Los usuarios cargan toda la información de los artículos en un Excel adjunto. Solamente se genera la línea del total de la compra. En varias ocasiones los usuarios colocan el detalle de la compra en la descripción sin generar los artículos en línea."/>
    <s v="Una forma de organizar el contenido para negociar por RFP es definir en el Sourcing Request una o más plantilla de Excel para recolectar la lista de ítems y/o servicios que necesita el solicitante y usar la nueva función de Importación inteligente desde archivos de Excel no estructurados para crear artículos en línea para eventos de RFP [SS-13646]"/>
    <s v="Feature Adoption"/>
    <s v="High"/>
    <s v="Low"/>
    <s v="Quick Win"/>
    <m/>
    <s v="Process Refinement"/>
    <s v="Yes"/>
    <s v="Yes"/>
    <s v="No"/>
    <s v="SAP Ariba Connect Release Readiness: Smart import from unstructured Excel files to create line items for RFP events"/>
    <s v="https://connectsupport.ariba.com/sites#item-view&amp;/189470_es"/>
    <m/>
    <m/>
    <s v="Customer"/>
    <x v="0"/>
    <m/>
    <m/>
    <m/>
    <m/>
  </r>
  <r>
    <n v="7"/>
    <s v="Sourcing"/>
    <s v="En algunas oportunidades no llegan los correos a los compradores de la creación de una solicitud de sourcing – Afecta KPI de tiempo de respuesta."/>
    <s v="Solicitaron hacer cambios sobre qué tipos de notificaciones por correo electrónico reciben: ¿Se pueden configurar?"/>
    <s v="Pendiente"/>
    <m/>
    <s v="Medium"/>
    <s v="Low"/>
    <s v="Quick Win"/>
    <m/>
    <s v="Process Refinement"/>
    <s v="Yes"/>
    <s v="Yes"/>
    <s v="No"/>
    <m/>
    <m/>
    <s v="Trabajar con notificaciones en SAP Ariba Strategic Sourcing"/>
    <m/>
    <s v="Customer"/>
    <x v="0"/>
    <m/>
    <m/>
    <m/>
    <m/>
  </r>
  <r>
    <n v="8"/>
    <s v="Sourcing"/>
    <s v="Requieren hacer cambios en el Dashboard inicial para mejor uso"/>
    <m/>
    <s v="Ariba permite personalizar tableros (o “Dashboards”), través de la opción Gestionar &gt; Administración &gt; Administrador del panel de instrucciones &gt; Plantillas de panel de instrucciones. Se recomienda definir tableros con reportes, fichas, gráficos y listas ya preparados para cada perfil de usuarios: Comprador, Aprobador, Supervisor, etc. "/>
    <s v="Q&amp;A"/>
    <s v="High"/>
    <s v="Low"/>
    <s v="Quick Win"/>
    <m/>
    <s v="Training"/>
    <s v="Yes"/>
    <s v="Yes"/>
    <s v="No"/>
    <m/>
    <s v="Creacion de tableros de informacion"/>
    <s v="Dashboards: Tiles, Portlets, Reporting Portlets, and Dashboard Templates"/>
    <m/>
    <s v="Customer"/>
    <x v="0"/>
    <m/>
    <m/>
    <m/>
    <m/>
  </r>
  <r>
    <n v="9"/>
    <s v="Sourcing"/>
    <s v="Los usuarios internos no conocen a qué comprador se asigna su solicitud"/>
    <m/>
    <s v="Es posible adicionar el usuario solicitante como Membro observador del equipo en el proyecto de Sourcing después que el comprador fue asignado, de forma que el usuario podrá acceder a la búsqueda de proyectos y visualizar todas las negociaciones que ya originado."/>
    <s v="Q&amp;A"/>
    <s v="Medium"/>
    <s v="Low"/>
    <s v="Quick Win"/>
    <m/>
    <s v="Training"/>
    <s v="No"/>
    <s v="Yes"/>
    <s v="No"/>
    <m/>
    <m/>
    <m/>
    <m/>
    <s v="Customer"/>
    <x v="0"/>
    <m/>
    <m/>
    <m/>
    <m/>
  </r>
  <r>
    <n v="10"/>
    <s v="Sourcing"/>
    <s v="La nomenclatura de los proyectos genera dificultad al comprador al buscar los proyectos de sourcing ya que los usuarios solamente cuentan con el número de solicitud y consultan por esta identificación.  Utilizan la búsqueda con más de un filtro lo que no es eficiente."/>
    <m/>
    <s v="La nomenclatura es definida por el usuario, que debe ser orientado a describir el proyecto según un estándar de nomenclatura que Komatsu puede orientar a sus usuarios internos. Sin embargo, el comprador puede modificar la descripción en el proyecto de sourcing si necesario. Los filtros están ahí para ayudar a refinar la búsqueda y deben ser usados siempre que posible."/>
    <s v="Process Change"/>
    <s v="Low"/>
    <s v="Low"/>
    <s v="Quick Win"/>
    <m/>
    <s v="Communication"/>
    <s v="No"/>
    <s v="No"/>
    <s v="No"/>
    <m/>
    <m/>
    <m/>
    <m/>
    <s v="Customer"/>
    <x v="0"/>
    <m/>
    <m/>
    <m/>
    <m/>
  </r>
  <r>
    <n v="11"/>
    <s v="Sourcing"/>
    <s v="Algunos campos en la creación del proyecto deberían estar seteados de diferente forma, el administrador desconoce cómo cambiar."/>
    <s v="Detalles item (7) documento &quot;Levantamiento de Información Komatsu SourcingSLP agosto2020.docx&quot;"/>
    <s v="1. Es posible setear la plantilla habitual por default de acuerdo con una condición (valor) que el comprador define en campo de cabecera del proyecto, por ejemplo, si el valor de “Equipo de Compra” es igual a “L01 – Activos fijos y activos menores”, solo muestra para selección la plantilla “Proyecto Sourcing RAPIDO”. _x000a_2. Para determinar default la copia de documentos y grupos del proyecto matriz habilite o Intelligent Configuration Manager para Sourcing y Contratos (levantar SR), modifique los parámetros a seguir para “No”. Application.ACM.CopyProject.DefaultAnswerForProjectGroupCopyWhenCopyingProject_x000a_Application.ACM.CopyProject.AllowProjectGroupCopyWhenCopyingProject_x000a_Haga testes y solo modifique en productivo se las pruebas confirman el resultado deseado._x000a_3.Para las preguntas (RFI, RFP, etc), es recomendable definir la respuesta default y marcar la opción “Debe cambiarse el valor predeterminado”. Sin embargo, revisar si estas preguntas son necesarias para proyecto rápido, normalmente las usamos en Licitaciones para definir más de una etapa de negociación con proveedores."/>
    <s v="Feature Adoption"/>
    <s v="Low"/>
    <s v="Low"/>
    <s v="Quick Win"/>
    <m/>
    <s v="Process Refinement"/>
    <s v="No"/>
    <s v="Yes"/>
    <s v="Yes"/>
    <m/>
    <m/>
    <m/>
    <m/>
    <s v="Support"/>
    <x v="0"/>
    <m/>
    <m/>
    <m/>
    <m/>
  </r>
  <r>
    <n v="12"/>
    <s v="Sourcing"/>
    <s v="Los pesos por criterio los indica el usuario, no se usan como variables registrados en la adjudicación"/>
    <s v="Detalles item (8) documento &quot;Levantamiento de Información Komatsu SourcingSLP agosto2020.docx&quot;"/>
    <s v="Los pesos por criterio que indica el usuario deben ser definidos por lote o ítem en el Evento, configurando el puntaje (y pesos) de acuerdo con los criterios. De forma que para el análisis de la mejor oferta se pueda usar la optimización de escenarios. La biblioteca de Sourcing puede guardar el contenido con puntaje para que los compradores las usen siempre que necesario._x000a_"/>
    <s v="Feature Adoption"/>
    <s v="High"/>
    <s v="Medium"/>
    <s v="Short Term"/>
    <s v="Ampliar la automación del concurso clasificatorio y uso del optimizador de ofertas"/>
    <s v="Training"/>
    <s v="Yes"/>
    <s v="Yes"/>
    <s v="No"/>
    <s v="SAP Ariba: Ayuda &gt; Centro de ayuda, &quot;clasificacion y puntuacion&quot;"/>
    <s v="Scoring Based On Economic Proposals (Spanish)&quot; (español)"/>
    <s v="Puntuación: Eventos y Encuestas en SAP Ariba Strategic Soucring y SPM"/>
    <s v="Uso de escenarios de optimización para adjudicar eventos"/>
    <s v="Customer"/>
    <x v="0"/>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2"/>
    <x v="0"/>
    <s v="Los contactos de los proveedores no estan actualizados"/>
    <s v="- Los proveedores no tienen mantenimiento en Ariba_x000a_- Contacto de proveedores se estan actualizando manualmente"/>
    <s v="La gestión de proveedores debe ser abarcada de un plan estrategico que incluye:_x000a_1. Personalización de mensajeria Ariba para proveedores(Invitación a registro, intivitación a eventos)_x000a_2. Construcción de un portal de proveedores para poder obterner información de los procesos de licitación Alicorp y obtener auto ayuda(ayuda detallada por cencosud / ayuda de links hacia Ariba)_x000a_3. La autogestión del proveedor en Ariba y la revisión/aprobación del lado de negocio,  reduciendo al minimo los errores en la creación de usuarios proveedores_x000a_4. Implementación de roles en la organización basado en el centro de excelencia"/>
    <x v="0"/>
    <x v="0"/>
    <s v="High"/>
    <x v="0"/>
    <s v="-Los proveedores podran empezar a resolver sus dudas y necesidades sin intervención del equipo Alicorp._x000a_- Los proveedores realizaran la actualización de contactos de vendores para la aprobación de Alicorp"/>
    <x v="0"/>
    <s v="Yes"/>
    <s v="Yes"/>
    <s v="No"/>
    <s v="#2 Anexo_x000a_#Documentación Adicional_x000a__x000a_Personalizar plantillas de correo electronico_x000a_https://help.sap.com/viewer/0c0862c3212a412ebea76d601287e5f9/cloud/es-ES/7cf22a5e71ea1014aa9bf52af1808904.html"/>
    <x v="0"/>
    <m/>
    <m/>
    <m/>
    <m/>
    <m/>
  </r>
  <r>
    <n v="3"/>
    <x v="1"/>
    <s v="Los proveedores usan coma decimal para cargar propuestas"/>
    <s v="Usar la coma decimal causa confusion en la carga de propuestas"/>
    <s v="La coma o punto decimal esta dado por el perfil del proveedor, esto puede ser modificado por cada proveedor en su perfil de proveedor"/>
    <x v="1"/>
    <x v="1"/>
    <s v="Medium"/>
    <x v="1"/>
    <s v="Los proveedores podran licitar usando punto o coma decimal segun se ajuste a sus necesidades"/>
    <x v="1"/>
    <s v="Yes"/>
    <s v="No"/>
    <s v="No"/>
    <s v="https://help.sap.com/viewer/71370a3c3c22457d802405e116570bf1/cloud/es-ES/de206f58f0181014bc10e12e50490e3a.html?q=punto%20decimales#loiode231294f0181014bee4d19abcbf8501"/>
    <x v="0"/>
    <m/>
    <m/>
    <m/>
    <m/>
    <m/>
  </r>
  <r>
    <n v="4"/>
    <x v="1"/>
    <s v="Proveedores no licitan todos los materiales "/>
    <s v="Se identifico que existio un caso en donde el proveedor no licito todos los skus solicitados y no se pudo generar un documento en el ERP via Ariba Doc3158690487"/>
    <s v="1. Si se requiere que los proveedores invitados liciten todas las lineas, sin excepción, se debe activar la opcion a nivel de linea &quot;Respuesta requerida para este artículo o lote&quot;_x000a_2. Se reviso el evento proporcionado y no presenta ningun error al ejecutar la transacción de enviar a sistema externo"/>
    <x v="2"/>
    <x v="1"/>
    <s v="Low"/>
    <x v="1"/>
    <s v="Los proveedores seran forzados a licitar todos los items solicitados caso contrario no podran licitar ese evento"/>
    <x v="1"/>
    <s v="No"/>
    <s v="No"/>
    <s v="No"/>
    <m/>
    <x v="0"/>
    <m/>
    <m/>
    <m/>
    <m/>
    <m/>
  </r>
  <r>
    <n v="5"/>
    <x v="0"/>
    <s v="Soporte a Proveedor lo realiza Alicorp"/>
    <s v="La ayuda que se le da al proveedor en diferentes instancias es directamente entre el equipo Alicorp y el proveedor"/>
    <s v="Parte de la recomendación #2 es implementar esquema de roles basado en el centro de excelencia para atender a los proveedores una vez que ellos ejecutaron la autoayuda de problemas comunes y solicitaron ayuda via SAP Ariba"/>
    <x v="1"/>
    <x v="1"/>
    <s v="Medium"/>
    <x v="0"/>
    <m/>
    <x v="0"/>
    <s v="No"/>
    <s v="No"/>
    <s v="No"/>
    <m/>
    <x v="0"/>
    <m/>
    <m/>
    <m/>
    <m/>
    <m/>
  </r>
  <r>
    <n v="7"/>
    <x v="1"/>
    <s v="Carga de multiples documentos en Evento"/>
    <s v="Cuando se quiere cargar multiples documentos se debe crear una pregunta por cada adjunto"/>
    <s v="1. Se puede crear pregunta por cada adjunto que se desee comunicar al proveedor_x000a_2. Se puede crear 1 sola pregunta, indicando el fin de los adjuntos descritos en la pregunta, para agrupar estos adjuntos se debe realizar via un archivo .ZIP de maximo 100MB_x000a_3. Se puede emplear el metodo numero 2 pero no usar un adjunto sino un enlace a algun repositorio publico en donde encontrara todos los adjuntos"/>
    <x v="1"/>
    <x v="1"/>
    <s v="Low"/>
    <x v="1"/>
    <s v="Carga de adjuntos para el proveedor via archivo ZIP"/>
    <x v="1"/>
    <s v="No"/>
    <s v="No"/>
    <s v="No"/>
    <s v="https://connectsupport.ariba.com/sites#item-view&amp;/151070"/>
    <x v="0"/>
    <m/>
    <m/>
    <m/>
    <m/>
    <m/>
  </r>
  <r>
    <n v="8"/>
    <x v="1"/>
    <s v="Licitación de servicio de transporte"/>
    <s v="Se requiere llevar a Ariba el modelo de transporte"/>
    <s v="1.Este escenario podria llevarse a una licitación insertando en cada articulo en linea las diferentes plantas de Alicorp y como termino de articulo, por cada Linea, crear los diferentes destinos. _x000a_2. Emplear lotes para licitar las rutas y plantas_x000a_Tener en cuenta que si se quiere trabajar con integración desde Ariba al ERP y solo deseamos crear un solo documento deberemos, adicionalmente, crear una linea extra a manera de total de la cotización"/>
    <x v="0"/>
    <x v="2"/>
    <s v="Medium"/>
    <x v="2"/>
    <s v="Licitar el servicio de transporte via SAP Ariba"/>
    <x v="0"/>
    <s v="No"/>
    <s v="Yes"/>
    <s v="No"/>
    <s v="#8 Anexo"/>
    <x v="0"/>
    <m/>
    <m/>
    <m/>
    <m/>
    <m/>
  </r>
  <r>
    <n v="9"/>
    <x v="1"/>
    <s v="Condición de precios en eventos"/>
    <s v="Requieren que el rango de precios sea integrado con el ERP"/>
    <s v="1. Existe la opción de creación de rangos de precios por parte del proveedor como respuesta alternativa, estos rangos estaran sujetos a los parametros del articulo en linea. Esta respuesta de rangos no soporta integración._x000a_2. La especificación de condiciones de precios permite a los compradores solicitar precios de los proveedores para diferentes períodos de validez (por ejemplo, mensual, trimestral, anual o personalizado) y para diferentes escalas por volumen. La recopilación de precios a lo largo del tiempo y por volumen puede llevar a una determinación de precios más precisa. Sin embargo la integración con el ERP asi como la generación de PIR esta disponible solo para Strategic Sourcing Suite"/>
    <x v="2"/>
    <x v="0"/>
    <s v="Medium"/>
    <x v="0"/>
    <s v="-El uso de rango de precios, o condiciones de precio, ayudaria al comprador a obetner una determinación de precios más precisa_x000a_-La adopción de rango de precios traeria consigo la funcionalidad de creación/actualización de Purchase Info Record en el ERP"/>
    <x v="2"/>
    <s v="Yes"/>
    <s v="No"/>
    <s v="No"/>
    <s v="https://help.sap.com/viewer/36a99e6ce8954882ba1cbe6d42056c3e/cloud/es-ES/a5bbf8e9724a4b9fa023d1583ef82aad.html"/>
    <x v="0"/>
    <m/>
    <m/>
    <m/>
    <m/>
    <m/>
  </r>
  <r>
    <n v="10"/>
    <x v="1"/>
    <s v="Respuestas alternativas para trabajar rangos"/>
    <s v="Se requiere obterner respuestas alternativas para trabajarlas como rangos"/>
    <s v="Las repuestas alternativas pueden ser de tipo precio o de rango. Las respuestas de tipo precio pueden tener integración con el ERP. Si se trabaja varias respuestas alternativas de tipo precio, del lado del proveedor, se generaran varias respuestas las cuales podran ser tomadas para adjudicación."/>
    <x v="2"/>
    <x v="2"/>
    <s v="Medium"/>
    <x v="2"/>
    <s v="Las respuestas alternativas se pueden ayudar a capturar oportunidades de precio que el proveedor identifica con anticipación"/>
    <x v="3"/>
    <s v="Yes"/>
    <s v="No"/>
    <s v="No"/>
    <s v="https://help.sap.com/viewer/36a99e6ce8954882ba1cbe6d42056c3e/cloud/es-ES/7c1a725771ea1014bcb0a4fe15f3bb84.html"/>
    <x v="0"/>
    <m/>
    <m/>
    <m/>
    <m/>
    <m/>
  </r>
  <r>
    <n v="11"/>
    <x v="1"/>
    <s v="Subastas solo soportan hasta 15 proveedores"/>
    <s v="Se tiene una limitación de 15 proveedores por subasta"/>
    <s v="Los eventos competitivos, dentro de los cuales se encuentran las subastas, tiene un limite maximo de hasta 700 proveedores"/>
    <x v="1"/>
    <x v="1"/>
    <s v="Low"/>
    <x v="1"/>
    <m/>
    <x v="1"/>
    <s v="No"/>
    <s v="No"/>
    <s v="No"/>
    <s v="https://help.sap.com/viewer/36a99e6ce8954882ba1cbe6d42056c3e/cloud/es-ES/7c1c716571ea1014b98f821728725118.html"/>
    <x v="0"/>
    <m/>
    <m/>
    <m/>
    <m/>
    <m/>
  </r>
  <r>
    <n v="12"/>
    <x v="1"/>
    <s v="SOLPED toman mucho tiempo en ser creadas"/>
    <s v="Las SOLPED son los puntos iniciales del proceso en SAP Ariba Sourcing"/>
    <s v="Se recomienda evaluar si las licitaciones que deben pasar por Ariba requieren una Solped y/o analizar la viabilidad de aligerar el proceso de liberación para estos documentos en el ERP con el fin de tener eventos en menor tiempo"/>
    <x v="0"/>
    <x v="0"/>
    <s v="Medium"/>
    <x v="0"/>
    <s v="El proceso de liberación de SOLPED permitira generar mas proyectos/eventos en Ariba para su negociación en forma simulteana "/>
    <x v="3"/>
    <s v="No"/>
    <s v="No"/>
    <s v="No"/>
    <m/>
    <x v="0"/>
    <m/>
    <m/>
    <m/>
    <m/>
    <m/>
  </r>
  <r>
    <n v="13"/>
    <x v="1"/>
    <s v="Limitación de terminos para cierto tipo de licitaciones"/>
    <s v="Actualmente las plantillas estan configuradas para soportar 30 terminos como maximo por limitación de Ariba"/>
    <s v="La documentación de Ariba presenta una actualización que indica que si bien es cierto la limitante para eventos con gran cantidad de lineas, indica tambien que ahora se podria licitar hasta 200 lineas con mas de 30 terminos. Dicho esto se sugiere explorar la posibilidad de dividir el proceso en eventos que requieren menos de 200 lineas con mas 30 terminos y los que no cumplan con este criterio mantener la configuración actual"/>
    <x v="0"/>
    <x v="0"/>
    <s v="Medium"/>
    <x v="2"/>
    <s v="Se podrán llevar a Ariba mas escenarios de negocio segmentando por la cantida de lineas a licitar"/>
    <x v="0"/>
    <s v="No"/>
    <s v="No"/>
    <s v="No"/>
    <s v="https://help.sap.com/viewer/36a99e6ce8954882ba1cbe6d42056c3e/cloud/es-ES/7c1c716571ea1014b98f821728725118.html"/>
    <x v="0"/>
    <m/>
    <m/>
    <m/>
    <m/>
    <m/>
  </r>
  <r>
    <n v="14"/>
    <x v="1"/>
    <s v="Esquema de costos de transporte no configurado en Ariba"/>
    <s v="Las plantillas configuradas en Ariba no soportan el esquema de costos de transporte usados en Alicorp"/>
    <s v="Se analizo el esquema presentado por Alicorp en donde hizo la expoción de 2 recomendaciones:_x000a_1. Emplear lotes con items para agrupar la estructura de costos en cada lote. El incoveniente con este alcance es que los proveedores no podrian elegir que ruta licitar o no dentro de un lote._x000a_2. Emplear secciones para segmentar la estructura de costos. Con este escenario los proveedores podrían seleccionar que ruta licitar, pero no se contaria con un agrupador resumen por estructura de costos._x000a_Ambas recomendaciones fueron presentadas en una RFP de desgloce de precios para que los terminos ingresados por el proveedor sean tomados en cuenta para calcular el precio final"/>
    <x v="2"/>
    <x v="0"/>
    <s v="Medium"/>
    <x v="2"/>
    <s v="Licitar proceso de Transporte via Ariba"/>
    <x v="0"/>
    <s v="Yes"/>
    <s v="Yes"/>
    <s v="No"/>
    <m/>
    <x v="0"/>
    <m/>
    <m/>
    <m/>
    <m/>
    <m/>
  </r>
  <r>
    <m/>
    <x v="2"/>
    <m/>
    <m/>
    <m/>
    <x v="3"/>
    <x v="3"/>
    <m/>
    <x v="3"/>
    <m/>
    <x v="4"/>
    <m/>
    <m/>
    <m/>
    <m/>
    <x v="0"/>
    <m/>
    <m/>
    <m/>
    <m/>
    <m/>
  </r>
  <r>
    <m/>
    <x v="2"/>
    <m/>
    <m/>
    <m/>
    <x v="3"/>
    <x v="3"/>
    <m/>
    <x v="3"/>
    <m/>
    <x v="4"/>
    <m/>
    <m/>
    <m/>
    <m/>
    <x v="0"/>
    <m/>
    <m/>
    <m/>
    <m/>
    <m/>
  </r>
  <r>
    <m/>
    <x v="2"/>
    <m/>
    <m/>
    <m/>
    <x v="3"/>
    <x v="3"/>
    <m/>
    <x v="3"/>
    <m/>
    <x v="4"/>
    <m/>
    <m/>
    <m/>
    <m/>
    <x v="0"/>
    <m/>
    <m/>
    <m/>
    <m/>
    <m/>
  </r>
  <r>
    <m/>
    <x v="2"/>
    <m/>
    <m/>
    <m/>
    <x v="3"/>
    <x v="3"/>
    <m/>
    <x v="3"/>
    <m/>
    <x v="4"/>
    <m/>
    <m/>
    <m/>
    <m/>
    <x v="0"/>
    <m/>
    <m/>
    <m/>
    <m/>
    <m/>
  </r>
  <r>
    <m/>
    <x v="2"/>
    <m/>
    <m/>
    <m/>
    <x v="3"/>
    <x v="3"/>
    <m/>
    <x v="3"/>
    <m/>
    <x v="4"/>
    <m/>
    <m/>
    <m/>
    <m/>
    <x v="0"/>
    <m/>
    <m/>
    <m/>
    <m/>
    <m/>
  </r>
  <r>
    <m/>
    <x v="2"/>
    <m/>
    <m/>
    <m/>
    <x v="3"/>
    <x v="3"/>
    <m/>
    <x v="3"/>
    <m/>
    <x v="4"/>
    <m/>
    <m/>
    <m/>
    <m/>
    <x v="0"/>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11883C-44A3-4DA0-A2A6-55E35D53C18E}" name="PivotTable1" cacheId="7"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31">
  <location ref="A3:B7" firstHeaderRow="1" firstDataRow="1" firstDataCol="1"/>
  <pivotFields count="21">
    <pivotField showAll="0"/>
    <pivotField axis="axisRow" showAll="0" sortType="descending">
      <items count="6">
        <item x="1"/>
        <item m="1" x="4"/>
        <item m="1" x="3"/>
        <item x="0"/>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3"/>
    </i>
    <i>
      <x v="4"/>
    </i>
    <i t="grand">
      <x/>
    </i>
  </rowItems>
  <colItems count="1">
    <i/>
  </colItems>
  <dataFields count="1">
    <dataField name="Count of Observation/Pain Point" fld="2"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F26BE4-357E-4776-9365-586EBE4CA496}" name="PivotTable2" cacheId="7"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53">
  <location ref="A3:B8" firstHeaderRow="1" firstDataRow="1" firstDataCol="1"/>
  <pivotFields count="21">
    <pivotField showAll="0"/>
    <pivotField showAll="0"/>
    <pivotField dataField="1"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Count of Observation/Pain Point" fld="2" subtotal="count" baseField="0" baseItem="0"/>
  </dataFields>
  <formats count="6">
    <format dxfId="17">
      <pivotArea type="all" dataOnly="0" outline="0" fieldPosition="0"/>
    </format>
    <format dxfId="16">
      <pivotArea outline="0" collapsedLevelsAreSubtotals="1" fieldPosition="0"/>
    </format>
    <format dxfId="15">
      <pivotArea field="6" type="button" dataOnly="0" labelOnly="1" outline="0" axis="axisRow" fieldPosition="0"/>
    </format>
    <format dxfId="14">
      <pivotArea dataOnly="0" labelOnly="1" fieldPosition="0">
        <references count="1">
          <reference field="6" count="0"/>
        </references>
      </pivotArea>
    </format>
    <format dxfId="13">
      <pivotArea dataOnly="0" labelOnly="1" grandRow="1" outline="0" fieldPosition="0"/>
    </format>
    <format dxfId="12">
      <pivotArea dataOnly="0" labelOnly="1" outline="0" axis="axisValues" fieldPosition="0"/>
    </format>
  </formats>
  <chartFormats count="4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0"/>
          </reference>
        </references>
      </pivotArea>
    </chartFormat>
    <chartFormat chart="4" format="3">
      <pivotArea type="data" outline="0" fieldPosition="0">
        <references count="2">
          <reference field="4294967294" count="1" selected="0">
            <x v="0"/>
          </reference>
          <reference field="6" count="1" selected="0">
            <x v="1"/>
          </reference>
        </references>
      </pivotArea>
    </chartFormat>
    <chartFormat chart="4" format="4">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 chart="16" format="10" series="1">
      <pivotArea type="data" outline="0" fieldPosition="0">
        <references count="1">
          <reference field="4294967294" count="1" selected="0">
            <x v="0"/>
          </reference>
        </references>
      </pivotArea>
    </chartFormat>
    <chartFormat chart="17" format="10" series="1">
      <pivotArea type="data" outline="0" fieldPosition="0">
        <references count="1">
          <reference field="4294967294" count="1" selected="0">
            <x v="0"/>
          </reference>
        </references>
      </pivotArea>
    </chartFormat>
    <chartFormat chart="18" format="10" series="1">
      <pivotArea type="data" outline="0" fieldPosition="0">
        <references count="1">
          <reference field="4294967294" count="1" selected="0">
            <x v="0"/>
          </reference>
        </references>
      </pivotArea>
    </chartFormat>
    <chartFormat chart="19" format="10" series="1">
      <pivotArea type="data" outline="0" fieldPosition="0">
        <references count="1">
          <reference field="4294967294" count="1" selected="0">
            <x v="0"/>
          </reference>
        </references>
      </pivotArea>
    </chartFormat>
    <chartFormat chart="20" format="10" series="1">
      <pivotArea type="data" outline="0" fieldPosition="0">
        <references count="1">
          <reference field="4294967294" count="1" selected="0">
            <x v="0"/>
          </reference>
        </references>
      </pivotArea>
    </chartFormat>
    <chartFormat chart="21" format="10" series="1">
      <pivotArea type="data" outline="0" fieldPosition="0">
        <references count="1">
          <reference field="4294967294" count="1" selected="0">
            <x v="0"/>
          </reference>
        </references>
      </pivotArea>
    </chartFormat>
    <chartFormat chart="22" format="10"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5" format="10" series="1">
      <pivotArea type="data" outline="0" fieldPosition="0">
        <references count="1">
          <reference field="4294967294" count="1" selected="0">
            <x v="0"/>
          </reference>
        </references>
      </pivotArea>
    </chartFormat>
    <chartFormat chart="26" format="10" series="1">
      <pivotArea type="data" outline="0" fieldPosition="0">
        <references count="1">
          <reference field="4294967294" count="1" selected="0">
            <x v="0"/>
          </reference>
        </references>
      </pivotArea>
    </chartFormat>
    <chartFormat chart="27" format="10" series="1">
      <pivotArea type="data" outline="0" fieldPosition="0">
        <references count="1">
          <reference field="4294967294" count="1" selected="0">
            <x v="0"/>
          </reference>
        </references>
      </pivotArea>
    </chartFormat>
    <chartFormat chart="28" format="10" series="1">
      <pivotArea type="data" outline="0" fieldPosition="0">
        <references count="1">
          <reference field="4294967294" count="1" selected="0">
            <x v="0"/>
          </reference>
        </references>
      </pivotArea>
    </chartFormat>
    <chartFormat chart="29" format="10" series="1">
      <pivotArea type="data" outline="0" fieldPosition="0">
        <references count="1">
          <reference field="4294967294" count="1" selected="0">
            <x v="0"/>
          </reference>
        </references>
      </pivotArea>
    </chartFormat>
    <chartFormat chart="30" format="10" series="1">
      <pivotArea type="data" outline="0" fieldPosition="0">
        <references count="1">
          <reference field="4294967294" count="1" selected="0">
            <x v="0"/>
          </reference>
        </references>
      </pivotArea>
    </chartFormat>
    <chartFormat chart="31" format="10" series="1">
      <pivotArea type="data" outline="0" fieldPosition="0">
        <references count="1">
          <reference field="4294967294" count="1" selected="0">
            <x v="0"/>
          </reference>
        </references>
      </pivotArea>
    </chartFormat>
    <chartFormat chart="32" format="10" series="1">
      <pivotArea type="data" outline="0" fieldPosition="0">
        <references count="1">
          <reference field="4294967294" count="1" selected="0">
            <x v="0"/>
          </reference>
        </references>
      </pivotArea>
    </chartFormat>
    <chartFormat chart="33" format="10" series="1">
      <pivotArea type="data" outline="0" fieldPosition="0">
        <references count="1">
          <reference field="4294967294" count="1" selected="0">
            <x v="0"/>
          </reference>
        </references>
      </pivotArea>
    </chartFormat>
    <chartFormat chart="34" format="10" series="1">
      <pivotArea type="data" outline="0" fieldPosition="0">
        <references count="1">
          <reference field="4294967294" count="1" selected="0">
            <x v="0"/>
          </reference>
        </references>
      </pivotArea>
    </chartFormat>
    <chartFormat chart="34" format="11">
      <pivotArea type="data" outline="0" fieldPosition="0">
        <references count="2">
          <reference field="4294967294" count="1" selected="0">
            <x v="0"/>
          </reference>
          <reference field="6" count="1" selected="0">
            <x v="1"/>
          </reference>
        </references>
      </pivotArea>
    </chartFormat>
    <chartFormat chart="35" format="10" series="1">
      <pivotArea type="data" outline="0" fieldPosition="0">
        <references count="1">
          <reference field="4294967294" count="1" selected="0">
            <x v="0"/>
          </reference>
        </references>
      </pivotArea>
    </chartFormat>
    <chartFormat chart="35" format="11">
      <pivotArea type="data" outline="0" fieldPosition="0">
        <references count="2">
          <reference field="4294967294" count="1" selected="0">
            <x v="0"/>
          </reference>
          <reference field="6" count="1" selected="0">
            <x v="1"/>
          </reference>
        </references>
      </pivotArea>
    </chartFormat>
    <chartFormat chart="36" format="10" series="1">
      <pivotArea type="data" outline="0" fieldPosition="0">
        <references count="1">
          <reference field="4294967294" count="1" selected="0">
            <x v="0"/>
          </reference>
        </references>
      </pivotArea>
    </chartFormat>
    <chartFormat chart="36" format="11">
      <pivotArea type="data" outline="0" fieldPosition="0">
        <references count="2">
          <reference field="4294967294" count="1" selected="0">
            <x v="0"/>
          </reference>
          <reference field="6" count="1" selected="0">
            <x v="1"/>
          </reference>
        </references>
      </pivotArea>
    </chartFormat>
    <chartFormat chart="36" format="12">
      <pivotArea type="data" outline="0" fieldPosition="0">
        <references count="2">
          <reference field="4294967294" count="1" selected="0">
            <x v="0"/>
          </reference>
          <reference field="6" count="1" selected="0">
            <x v="0"/>
          </reference>
        </references>
      </pivotArea>
    </chartFormat>
    <chartFormat chart="39" format="14" series="1">
      <pivotArea type="data" outline="0" fieldPosition="0">
        <references count="1">
          <reference field="4294967294" count="1" selected="0">
            <x v="0"/>
          </reference>
        </references>
      </pivotArea>
    </chartFormat>
    <chartFormat chart="39" format="15">
      <pivotArea type="data" outline="0" fieldPosition="0">
        <references count="2">
          <reference field="4294967294" count="1" selected="0">
            <x v="0"/>
          </reference>
          <reference field="6" count="1" selected="0">
            <x v="0"/>
          </reference>
        </references>
      </pivotArea>
    </chartFormat>
    <chartFormat chart="39" format="16">
      <pivotArea type="data" outline="0" fieldPosition="0">
        <references count="2">
          <reference field="4294967294" count="1" selected="0">
            <x v="0"/>
          </reference>
          <reference field="6" count="1" selected="0">
            <x v="1"/>
          </reference>
        </references>
      </pivotArea>
    </chartFormat>
    <chartFormat chart="40" format="18" series="1">
      <pivotArea type="data" outline="0" fieldPosition="0">
        <references count="1">
          <reference field="4294967294" count="1" selected="0">
            <x v="0"/>
          </reference>
        </references>
      </pivotArea>
    </chartFormat>
    <chartFormat chart="40" format="19">
      <pivotArea type="data" outline="0" fieldPosition="0">
        <references count="2">
          <reference field="4294967294" count="1" selected="0">
            <x v="0"/>
          </reference>
          <reference field="6" count="1" selected="0">
            <x v="0"/>
          </reference>
        </references>
      </pivotArea>
    </chartFormat>
    <chartFormat chart="40" format="20">
      <pivotArea type="data" outline="0" fieldPosition="0">
        <references count="2">
          <reference field="4294967294" count="1" selected="0">
            <x v="0"/>
          </reference>
          <reference field="6" count="1" selected="0">
            <x v="1"/>
          </reference>
        </references>
      </pivotArea>
    </chartFormat>
    <chartFormat chart="36" format="17">
      <pivotArea type="data" outline="0" fieldPosition="0">
        <references count="2">
          <reference field="4294967294" count="1" selected="0">
            <x v="0"/>
          </reference>
          <reference field="6" count="1" selected="0">
            <x v="2"/>
          </reference>
        </references>
      </pivotArea>
    </chartFormat>
    <chartFormat chart="36" format="18">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2C8A12-5B7C-4B96-A5FF-7CA98D6BE2FF}" name="PivotTable4" cacheId="7"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29">
  <location ref="A3:B8" firstHeaderRow="1" firstDataRow="1" firstDataCol="1"/>
  <pivotFields count="21">
    <pivotField showAll="0"/>
    <pivotField showAll="0"/>
    <pivotField dataField="1" showAll="0"/>
    <pivotField showAll="0"/>
    <pivotField showAll="0"/>
    <pivotField showAll="0"/>
    <pivotField showAll="0"/>
    <pivotField showAll="0"/>
    <pivotField axis="axisRow" showAll="0">
      <items count="6">
        <item x="1"/>
        <item x="2"/>
        <item m="1" x="4"/>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5">
    <i>
      <x/>
    </i>
    <i>
      <x v="1"/>
    </i>
    <i>
      <x v="3"/>
    </i>
    <i>
      <x v="4"/>
    </i>
    <i t="grand">
      <x/>
    </i>
  </rowItems>
  <colItems count="1">
    <i/>
  </colItems>
  <dataFields count="1">
    <dataField name="Count of Observation/Pain Point" fld="2" subtotal="count" baseField="0" baseItem="0"/>
  </dataFields>
  <formats count="6">
    <format dxfId="11">
      <pivotArea type="all" dataOnly="0" outline="0" fieldPosition="0"/>
    </format>
    <format dxfId="10">
      <pivotArea outline="0" collapsedLevelsAreSubtotals="1" fieldPosition="0"/>
    </format>
    <format dxfId="9">
      <pivotArea field="8" type="button" dataOnly="0" labelOnly="1" outline="0" axis="axisRow" fieldPosition="0"/>
    </format>
    <format dxfId="8">
      <pivotArea dataOnly="0" labelOnly="1" fieldPosition="0">
        <references count="1">
          <reference field="8" count="0"/>
        </references>
      </pivotArea>
    </format>
    <format dxfId="7">
      <pivotArea dataOnly="0" labelOnly="1" grandRow="1" outline="0" fieldPosition="0"/>
    </format>
    <format dxfId="6">
      <pivotArea dataOnly="0" labelOnly="1" outline="0" axis="axisValues" fieldPosition="0"/>
    </format>
  </formats>
  <chartFormats count="14">
    <chartFormat chart="3" format="0"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0"/>
          </reference>
        </references>
      </pivotArea>
    </chartFormat>
    <chartFormat chart="3" format="6">
      <pivotArea type="data" outline="0" fieldPosition="0">
        <references count="2">
          <reference field="4294967294" count="1" selected="0">
            <x v="0"/>
          </reference>
          <reference field="8" count="1" selected="0">
            <x v="1"/>
          </reference>
        </references>
      </pivotArea>
    </chartFormat>
    <chartFormat chart="4" format="12"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8" count="1" selected="0">
            <x v="0"/>
          </reference>
        </references>
      </pivotArea>
    </chartFormat>
    <chartFormat chart="4" format="16">
      <pivotArea type="data" outline="0" fieldPosition="0">
        <references count="2">
          <reference field="4294967294" count="1" selected="0">
            <x v="0"/>
          </reference>
          <reference field="8" count="1" selected="0">
            <x v="1"/>
          </reference>
        </references>
      </pivotArea>
    </chartFormat>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8" count="1" selected="0">
            <x v="0"/>
          </reference>
        </references>
      </pivotArea>
    </chartFormat>
    <chartFormat chart="5" format="21">
      <pivotArea type="data" outline="0" fieldPosition="0">
        <references count="2">
          <reference field="4294967294" count="1" selected="0">
            <x v="0"/>
          </reference>
          <reference field="8" count="1" selected="0">
            <x v="1"/>
          </reference>
        </references>
      </pivotArea>
    </chartFormat>
    <chartFormat chart="6" format="23" series="1">
      <pivotArea type="data" outline="0" fieldPosition="0">
        <references count="1">
          <reference field="4294967294" count="1" selected="0">
            <x v="0"/>
          </reference>
        </references>
      </pivotArea>
    </chartFormat>
    <chartFormat chart="6" format="24">
      <pivotArea type="data" outline="0" fieldPosition="0">
        <references count="2">
          <reference field="4294967294" count="1" selected="0">
            <x v="0"/>
          </reference>
          <reference field="8" count="1" selected="0">
            <x v="0"/>
          </reference>
        </references>
      </pivotArea>
    </chartFormat>
    <chartFormat chart="6" format="26">
      <pivotArea type="data" outline="0" fieldPosition="0">
        <references count="2">
          <reference field="4294967294" count="1" selected="0">
            <x v="0"/>
          </reference>
          <reference field="8" count="1" selected="0">
            <x v="1"/>
          </reference>
        </references>
      </pivotArea>
    </chartFormat>
    <chartFormat chart="4" format="18">
      <pivotArea type="data" outline="0" fieldPosition="0">
        <references count="2">
          <reference field="4294967294" count="1" selected="0">
            <x v="0"/>
          </reference>
          <reference field="8" count="1" selected="0">
            <x v="3"/>
          </reference>
        </references>
      </pivotArea>
    </chartFormat>
    <chartFormat chart="4" format="19">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9AC6C3-4545-4141-ACD2-7C6219B12177}" name="PivotTable1" cacheId="7"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1:B3" firstHeaderRow="1" firstDataRow="1" firstDataCol="1"/>
  <pivotFields count="21">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m="1" x="2"/>
        <item m="1" x="1"/>
        <item m="1" x="3"/>
        <item x="0"/>
        <item t="default"/>
      </items>
    </pivotField>
    <pivotField showAll="0"/>
    <pivotField showAll="0"/>
    <pivotField showAll="0"/>
    <pivotField showAll="0"/>
    <pivotField showAll="0"/>
  </pivotFields>
  <rowFields count="1">
    <field x="15"/>
  </rowFields>
  <rowItems count="2">
    <i>
      <x v="3"/>
    </i>
    <i t="grand">
      <x/>
    </i>
  </rowItems>
  <colItems count="1">
    <i/>
  </colItems>
  <dataFields count="1">
    <dataField name="Count of Recommendations" fld="4" subtotal="count"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4BF3FF-CD03-49A9-988B-40EB744C71B9}" name="PivotTable2"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5" firstHeaderRow="1" firstDataRow="1" firstDataCol="1"/>
  <pivotFields count="24">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 showAll="0"/>
    <pivotField showAll="0"/>
    <pivotField showAll="0"/>
  </pivotFields>
  <rowFields count="1">
    <field x="19"/>
  </rowFields>
  <rowItems count="2">
    <i>
      <x/>
    </i>
    <i t="grand">
      <x/>
    </i>
  </rowItems>
  <colItems count="1">
    <i/>
  </colItems>
  <dataFields count="1">
    <dataField name="Count of Observation/Pain Point" fld="2" subtotal="count" baseField="0" baseItem="0"/>
  </dataFields>
  <chartFormats count="3">
    <chartFormat chart="0" format="7"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19" count="1" selected="0">
            <x v="0"/>
          </reference>
        </references>
      </pivotArea>
    </chartFormat>
    <chartFormat chart="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E5EA4F-46DC-4F8F-B175-381FA5481FCF}" name="PivotTable5" cacheId="7"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23">
  <location ref="A3:B8" firstHeaderRow="1" firstDataRow="1" firstDataCol="1"/>
  <pivotFields count="21">
    <pivotField showAll="0"/>
    <pivotField showAll="0"/>
    <pivotField dataField="1" showAll="0"/>
    <pivotField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2"/>
    </i>
    <i>
      <x v="1"/>
    </i>
    <i>
      <x v="3"/>
    </i>
    <i t="grand">
      <x/>
    </i>
  </rowItems>
  <colItems count="1">
    <i/>
  </colItems>
  <dataFields count="1">
    <dataField name="Count of Observation/Pain Point" fld="2" subtotal="count" baseField="0" baseItem="0"/>
  </dataFields>
  <formats count="6">
    <format dxfId="5">
      <pivotArea type="all" dataOnly="0" outline="0" fieldPosition="0"/>
    </format>
    <format dxfId="4">
      <pivotArea outline="0" collapsedLevelsAreSubtotals="1" fieldPosition="0"/>
    </format>
    <format dxfId="3">
      <pivotArea field="5" type="button" dataOnly="0" labelOnly="1" outline="0" axis="axisRow" fieldPosition="0"/>
    </format>
    <format dxfId="2">
      <pivotArea dataOnly="0" labelOnly="1" fieldPosition="0">
        <references count="1">
          <reference field="5" count="0"/>
        </references>
      </pivotArea>
    </format>
    <format dxfId="1">
      <pivotArea dataOnly="0" labelOnly="1" grandRow="1" outline="0" fieldPosition="0"/>
    </format>
    <format dxfId="0">
      <pivotArea dataOnly="0" labelOnly="1" outline="0" axis="axisValues" fieldPosition="0"/>
    </format>
  </formats>
  <chartFormats count="9">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5"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0"/>
          </reference>
        </references>
      </pivotArea>
    </chartFormat>
    <chartFormat chart="10" format="22" series="1">
      <pivotArea type="data" outline="0" fieldPosition="0">
        <references count="1">
          <reference field="4294967294" count="1" selected="0">
            <x v="0"/>
          </reference>
        </references>
      </pivotArea>
    </chartFormat>
    <chartFormat chart="10" format="23">
      <pivotArea type="data" outline="0" fieldPosition="0">
        <references count="2">
          <reference field="4294967294" count="1" selected="0">
            <x v="0"/>
          </reference>
          <reference field="5" count="1" selected="0">
            <x v="0"/>
          </reference>
        </references>
      </pivotArea>
    </chartFormat>
    <chartFormat chart="8" format="1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5DA1E8-C3BD-4C10-967B-A1E4EAC1268D}" name="PivotTable6" cacheId="7"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3">
  <location ref="A1:B7" firstHeaderRow="1" firstDataRow="1" firstDataCol="1"/>
  <pivotFields count="21">
    <pivotField showAll="0"/>
    <pivotField showAll="0"/>
    <pivotField dataField="1" showAll="0"/>
    <pivotField showAll="0"/>
    <pivotField showAll="0"/>
    <pivotField showAll="0"/>
    <pivotField showAll="0"/>
    <pivotField showAll="0"/>
    <pivotField showAll="0"/>
    <pivotField showAll="0"/>
    <pivotField axis="axisRow" showAll="0" sortType="descending">
      <items count="8">
        <item m="1" x="5"/>
        <item x="0"/>
        <item x="1"/>
        <item m="1" x="6"/>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10"/>
  </rowFields>
  <rowItems count="6">
    <i>
      <x v="1"/>
    </i>
    <i>
      <x v="2"/>
    </i>
    <i>
      <x v="5"/>
    </i>
    <i>
      <x v="4"/>
    </i>
    <i>
      <x v="6"/>
    </i>
    <i t="grand">
      <x/>
    </i>
  </rowItems>
  <colItems count="1">
    <i/>
  </colItems>
  <dataFields count="1">
    <dataField name="Count of Observation/Pain Point" fld="2" subtotal="count" baseField="0" baseItem="0"/>
  </dataFields>
  <chartFormats count="5">
    <chartFormat chart="3"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onnectsupport.ariba.com/sites" TargetMode="External"/><Relationship Id="rId7" Type="http://schemas.openxmlformats.org/officeDocument/2006/relationships/printerSettings" Target="../printerSettings/printerSettings1.bin"/><Relationship Id="rId2" Type="http://schemas.openxmlformats.org/officeDocument/2006/relationships/hyperlink" Target="https://help.sap.com/viewer/36a99e6ce8954882ba1cbe6d42056c3e/cloud/es-ES/7c1c716571ea1014b98f821728725118.html" TargetMode="External"/><Relationship Id="rId1" Type="http://schemas.openxmlformats.org/officeDocument/2006/relationships/hyperlink" Target="https://help.sap.com/viewer/71370a3c3c22457d802405e116570bf1/cloud/es-ES/de206f58f0181014bc10e12e50490e3a.html?q=punto%20decimales" TargetMode="External"/><Relationship Id="rId6" Type="http://schemas.openxmlformats.org/officeDocument/2006/relationships/hyperlink" Target="https://help.sap.com/viewer/36a99e6ce8954882ba1cbe6d42056c3e/cloud/es-ES/7c1c716571ea1014b98f821728725118.html" TargetMode="External"/><Relationship Id="rId5" Type="http://schemas.openxmlformats.org/officeDocument/2006/relationships/hyperlink" Target="https://help.sap.com/viewer/36a99e6ce8954882ba1cbe6d42056c3e/cloud/es-ES/7c1a725771ea1014bcb0a4fe15f3bb84.html" TargetMode="External"/><Relationship Id="rId4" Type="http://schemas.openxmlformats.org/officeDocument/2006/relationships/hyperlink" Target="https://help.sap.com/viewer/36a99e6ce8954882ba1cbe6d42056c3e/cloud/es-ES/a5bbf8e9724a4b9fa023d1583ef82aad.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8.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9.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F05D1-5B4B-473B-B1E5-BB7F5C4FC462}">
  <sheetPr filterMode="1"/>
  <dimension ref="A1:U20"/>
  <sheetViews>
    <sheetView showGridLines="0" tabSelected="1" zoomScale="160" zoomScaleNormal="160" workbookViewId="0">
      <pane xSplit="3" ySplit="1" topLeftCell="G7" activePane="bottomRight" state="frozen"/>
      <selection pane="topRight" activeCell="D1" sqref="D1"/>
      <selection pane="bottomLeft" activeCell="A2" sqref="A2"/>
      <selection pane="bottomRight" activeCell="J9" sqref="J9"/>
    </sheetView>
  </sheetViews>
  <sheetFormatPr baseColWidth="10" defaultColWidth="9" defaultRowHeight="13" outlineLevelCol="1" x14ac:dyDescent="0.15"/>
  <cols>
    <col min="1" max="1" width="4.5" style="15" customWidth="1"/>
    <col min="2" max="2" width="15.6640625" style="16" customWidth="1"/>
    <col min="3" max="3" width="36.33203125" style="17" customWidth="1"/>
    <col min="4" max="4" width="37.33203125" style="18" customWidth="1"/>
    <col min="5" max="5" width="86" style="10" customWidth="1"/>
    <col min="6" max="6" width="13.5" style="10" bestFit="1" customWidth="1"/>
    <col min="7" max="7" width="8.1640625" style="19" customWidth="1"/>
    <col min="8" max="8" width="8" style="19" customWidth="1"/>
    <col min="9" max="9" width="10.5" style="20" customWidth="1"/>
    <col min="10" max="10" width="39.1640625" style="10" customWidth="1" outlineLevel="1"/>
    <col min="11" max="11" width="16.5" style="21" customWidth="1" outlineLevel="1"/>
    <col min="12" max="12" width="8.6640625" style="15" customWidth="1" outlineLevel="1"/>
    <col min="13" max="13" width="9" style="19" customWidth="1" outlineLevel="1"/>
    <col min="14" max="14" width="10.6640625" style="19" customWidth="1" outlineLevel="1"/>
    <col min="15" max="15" width="36" style="1" customWidth="1"/>
    <col min="16" max="16" width="27.1640625" style="22" customWidth="1"/>
    <col min="17" max="17" width="8.1640625" style="10" customWidth="1" outlineLevel="1"/>
    <col min="18" max="18" width="27.1640625" style="1" customWidth="1" outlineLevel="1"/>
    <col min="19" max="19" width="20.33203125" style="1" customWidth="1" outlineLevel="1"/>
    <col min="20" max="20" width="16.6640625" style="1" customWidth="1" outlineLevel="1"/>
    <col min="21" max="21" width="36" style="1" customWidth="1" outlineLevel="1"/>
    <col min="22" max="16384" width="9" style="1"/>
  </cols>
  <sheetData>
    <row r="1" spans="1:21" ht="16" x14ac:dyDescent="0.2">
      <c r="A1" s="71" t="s">
        <v>0</v>
      </c>
      <c r="B1" s="71"/>
      <c r="C1" s="71"/>
      <c r="D1" s="71"/>
      <c r="E1" s="71"/>
      <c r="F1" s="71"/>
      <c r="G1" s="71"/>
      <c r="H1" s="71"/>
      <c r="I1" s="71"/>
      <c r="J1" s="71"/>
      <c r="K1" s="71"/>
      <c r="L1" s="71"/>
      <c r="M1" s="71"/>
      <c r="N1" s="71"/>
      <c r="O1" s="71"/>
      <c r="P1" s="70" t="s">
        <v>1</v>
      </c>
      <c r="Q1" s="70"/>
      <c r="R1" s="70"/>
      <c r="S1" s="70"/>
      <c r="T1" s="70"/>
      <c r="U1" s="70"/>
    </row>
    <row r="2" spans="1:21" s="4" customFormat="1" ht="28" x14ac:dyDescent="0.2">
      <c r="A2" s="2" t="s">
        <v>2</v>
      </c>
      <c r="B2" s="3" t="s">
        <v>3</v>
      </c>
      <c r="C2" s="2" t="s">
        <v>4</v>
      </c>
      <c r="D2" s="2" t="s">
        <v>5</v>
      </c>
      <c r="E2" s="2" t="s">
        <v>6</v>
      </c>
      <c r="F2" s="2" t="s">
        <v>7</v>
      </c>
      <c r="G2" s="2" t="s">
        <v>8</v>
      </c>
      <c r="H2" s="2" t="s">
        <v>9</v>
      </c>
      <c r="I2" s="2" t="s">
        <v>10</v>
      </c>
      <c r="J2" s="2" t="s">
        <v>12</v>
      </c>
      <c r="K2" s="2" t="s">
        <v>13</v>
      </c>
      <c r="L2" s="2" t="s">
        <v>14</v>
      </c>
      <c r="M2" s="2" t="s">
        <v>15</v>
      </c>
      <c r="N2" s="2" t="s">
        <v>16</v>
      </c>
      <c r="O2" s="2" t="s">
        <v>17</v>
      </c>
      <c r="P2" s="3" t="s">
        <v>18</v>
      </c>
      <c r="Q2" s="2" t="s">
        <v>11</v>
      </c>
      <c r="R2" s="2" t="s">
        <v>19</v>
      </c>
      <c r="S2" s="2" t="s">
        <v>20</v>
      </c>
      <c r="T2" s="2" t="s">
        <v>21</v>
      </c>
      <c r="U2" s="2" t="s">
        <v>22</v>
      </c>
    </row>
    <row r="3" spans="1:21" ht="101" customHeight="1" x14ac:dyDescent="0.15">
      <c r="A3" s="50">
        <v>2</v>
      </c>
      <c r="B3" s="5" t="s">
        <v>60</v>
      </c>
      <c r="C3" s="59" t="s">
        <v>104</v>
      </c>
      <c r="D3" s="62" t="s">
        <v>112</v>
      </c>
      <c r="E3" s="63" t="s">
        <v>113</v>
      </c>
      <c r="F3" s="50" t="s">
        <v>63</v>
      </c>
      <c r="G3" s="50" t="s">
        <v>25</v>
      </c>
      <c r="H3" s="50" t="s">
        <v>25</v>
      </c>
      <c r="I3" s="50" t="s">
        <v>67</v>
      </c>
      <c r="J3" s="52" t="s">
        <v>114</v>
      </c>
      <c r="K3" s="50" t="s">
        <v>72</v>
      </c>
      <c r="L3" s="50" t="s">
        <v>30</v>
      </c>
      <c r="M3" s="50" t="s">
        <v>30</v>
      </c>
      <c r="N3" s="50" t="s">
        <v>29</v>
      </c>
      <c r="O3" s="12" t="s">
        <v>105</v>
      </c>
      <c r="P3" s="49"/>
      <c r="Q3" s="47"/>
      <c r="R3" s="9"/>
      <c r="S3" s="13"/>
      <c r="T3" s="13"/>
      <c r="U3" s="13"/>
    </row>
    <row r="4" spans="1:21" ht="42" customHeight="1" x14ac:dyDescent="0.15">
      <c r="A4" s="50">
        <v>3</v>
      </c>
      <c r="B4" s="5" t="s">
        <v>23</v>
      </c>
      <c r="C4" s="59" t="s">
        <v>107</v>
      </c>
      <c r="D4" s="61" t="s">
        <v>108</v>
      </c>
      <c r="E4" s="63" t="s">
        <v>109</v>
      </c>
      <c r="F4" s="7" t="s">
        <v>32</v>
      </c>
      <c r="G4" s="7" t="s">
        <v>37</v>
      </c>
      <c r="H4" s="7" t="s">
        <v>26</v>
      </c>
      <c r="I4" s="7" t="s">
        <v>27</v>
      </c>
      <c r="J4" s="11" t="s">
        <v>110</v>
      </c>
      <c r="K4" s="50" t="s">
        <v>33</v>
      </c>
      <c r="L4" s="50" t="s">
        <v>30</v>
      </c>
      <c r="M4" s="50" t="s">
        <v>29</v>
      </c>
      <c r="N4" s="50" t="s">
        <v>29</v>
      </c>
      <c r="O4" s="8" t="s">
        <v>106</v>
      </c>
      <c r="P4" s="49"/>
      <c r="Q4" s="47"/>
      <c r="R4" s="9"/>
      <c r="S4" s="13"/>
      <c r="T4" s="13"/>
      <c r="U4" s="13"/>
    </row>
    <row r="5" spans="1:21" ht="41.5" customHeight="1" x14ac:dyDescent="0.15">
      <c r="A5" s="50">
        <v>4</v>
      </c>
      <c r="B5" s="5" t="s">
        <v>23</v>
      </c>
      <c r="C5" s="59" t="s">
        <v>99</v>
      </c>
      <c r="D5" s="6" t="s">
        <v>121</v>
      </c>
      <c r="E5" s="64" t="s">
        <v>122</v>
      </c>
      <c r="F5" s="7" t="s">
        <v>24</v>
      </c>
      <c r="G5" s="7" t="s">
        <v>37</v>
      </c>
      <c r="H5" s="7" t="s">
        <v>37</v>
      </c>
      <c r="I5" s="7" t="s">
        <v>27</v>
      </c>
      <c r="J5" s="11" t="s">
        <v>123</v>
      </c>
      <c r="K5" s="50" t="s">
        <v>33</v>
      </c>
      <c r="L5" s="7" t="s">
        <v>29</v>
      </c>
      <c r="M5" s="7" t="s">
        <v>29</v>
      </c>
      <c r="N5" s="50" t="s">
        <v>29</v>
      </c>
      <c r="O5" s="12"/>
      <c r="P5" s="49"/>
      <c r="Q5" s="47"/>
      <c r="R5" s="9"/>
      <c r="S5" s="13"/>
      <c r="T5" s="13"/>
      <c r="U5" s="13"/>
    </row>
    <row r="6" spans="1:21" ht="45" customHeight="1" x14ac:dyDescent="0.15">
      <c r="A6" s="50">
        <v>5</v>
      </c>
      <c r="B6" s="5" t="s">
        <v>60</v>
      </c>
      <c r="C6" s="59" t="s">
        <v>149</v>
      </c>
      <c r="D6" s="6" t="s">
        <v>111</v>
      </c>
      <c r="E6" s="6" t="s">
        <v>150</v>
      </c>
      <c r="F6" s="7" t="s">
        <v>32</v>
      </c>
      <c r="G6" s="7" t="s">
        <v>37</v>
      </c>
      <c r="H6" s="7" t="s">
        <v>26</v>
      </c>
      <c r="I6" s="7" t="s">
        <v>67</v>
      </c>
      <c r="J6" s="11"/>
      <c r="K6" s="50" t="s">
        <v>72</v>
      </c>
      <c r="L6" s="7" t="s">
        <v>29</v>
      </c>
      <c r="M6" s="7" t="s">
        <v>29</v>
      </c>
      <c r="N6" s="50" t="s">
        <v>29</v>
      </c>
      <c r="O6" s="8"/>
      <c r="P6" s="49"/>
      <c r="Q6" s="47"/>
      <c r="R6" s="9"/>
      <c r="S6" s="13"/>
      <c r="T6" s="13"/>
      <c r="U6" s="13"/>
    </row>
    <row r="7" spans="1:21" ht="69.5" customHeight="1" x14ac:dyDescent="0.15">
      <c r="A7" s="50">
        <v>7</v>
      </c>
      <c r="B7" s="5" t="s">
        <v>23</v>
      </c>
      <c r="C7" s="57" t="s">
        <v>124</v>
      </c>
      <c r="D7" s="6" t="s">
        <v>125</v>
      </c>
      <c r="E7" s="6" t="s">
        <v>127</v>
      </c>
      <c r="F7" s="7" t="s">
        <v>32</v>
      </c>
      <c r="G7" s="7" t="s">
        <v>37</v>
      </c>
      <c r="H7" s="7" t="s">
        <v>37</v>
      </c>
      <c r="I7" s="7" t="s">
        <v>27</v>
      </c>
      <c r="J7" s="11" t="s">
        <v>128</v>
      </c>
      <c r="K7" s="50" t="s">
        <v>33</v>
      </c>
      <c r="L7" s="7" t="s">
        <v>29</v>
      </c>
      <c r="M7" s="7" t="s">
        <v>29</v>
      </c>
      <c r="N7" s="50" t="s">
        <v>29</v>
      </c>
      <c r="O7" s="12" t="s">
        <v>126</v>
      </c>
      <c r="P7" s="49"/>
      <c r="Q7" s="47"/>
      <c r="R7" s="9"/>
      <c r="S7" s="13"/>
      <c r="T7" s="13"/>
      <c r="U7" s="13"/>
    </row>
    <row r="8" spans="1:21" ht="40.75" customHeight="1" x14ac:dyDescent="0.15">
      <c r="A8" s="50">
        <v>8</v>
      </c>
      <c r="B8" s="5" t="s">
        <v>23</v>
      </c>
      <c r="C8" s="57" t="s">
        <v>130</v>
      </c>
      <c r="D8" s="6" t="s">
        <v>131</v>
      </c>
      <c r="E8" s="6" t="s">
        <v>139</v>
      </c>
      <c r="F8" s="7" t="s">
        <v>63</v>
      </c>
      <c r="G8" s="7" t="s">
        <v>26</v>
      </c>
      <c r="H8" s="7" t="s">
        <v>26</v>
      </c>
      <c r="I8" s="7" t="s">
        <v>39</v>
      </c>
      <c r="J8" s="11" t="s">
        <v>132</v>
      </c>
      <c r="K8" s="50" t="s">
        <v>72</v>
      </c>
      <c r="L8" s="7" t="s">
        <v>29</v>
      </c>
      <c r="M8" s="7" t="s">
        <v>30</v>
      </c>
      <c r="N8" s="50" t="s">
        <v>29</v>
      </c>
      <c r="O8" s="5" t="s">
        <v>138</v>
      </c>
      <c r="P8" s="49"/>
      <c r="Q8" s="47"/>
      <c r="R8" s="9"/>
      <c r="S8" s="13"/>
      <c r="T8" s="13"/>
      <c r="U8" s="13"/>
    </row>
    <row r="9" spans="1:21" s="10" customFormat="1" ht="87" customHeight="1" x14ac:dyDescent="0.15">
      <c r="A9" s="50">
        <v>9</v>
      </c>
      <c r="B9" s="5" t="s">
        <v>23</v>
      </c>
      <c r="C9" s="57" t="s">
        <v>151</v>
      </c>
      <c r="D9" s="6" t="s">
        <v>100</v>
      </c>
      <c r="E9" s="53" t="s">
        <v>140</v>
      </c>
      <c r="F9" s="7" t="s">
        <v>24</v>
      </c>
      <c r="G9" s="7" t="s">
        <v>25</v>
      </c>
      <c r="H9" s="7" t="s">
        <v>26</v>
      </c>
      <c r="I9" s="7" t="s">
        <v>67</v>
      </c>
      <c r="J9" s="65" t="s">
        <v>133</v>
      </c>
      <c r="K9" s="50" t="s">
        <v>73</v>
      </c>
      <c r="L9" s="7" t="s">
        <v>30</v>
      </c>
      <c r="M9" s="7" t="s">
        <v>29</v>
      </c>
      <c r="N9" s="7" t="s">
        <v>29</v>
      </c>
      <c r="O9" s="8" t="s">
        <v>129</v>
      </c>
      <c r="P9" s="49"/>
      <c r="Q9" s="47"/>
      <c r="R9" s="9"/>
      <c r="S9" s="9"/>
      <c r="T9" s="9"/>
      <c r="U9" s="9"/>
    </row>
    <row r="10" spans="1:21" s="10" customFormat="1" ht="55.25" customHeight="1" x14ac:dyDescent="0.15">
      <c r="A10" s="50">
        <v>10</v>
      </c>
      <c r="B10" s="5" t="s">
        <v>23</v>
      </c>
      <c r="C10" s="57" t="s">
        <v>101</v>
      </c>
      <c r="D10" s="6" t="s">
        <v>134</v>
      </c>
      <c r="E10" s="53" t="s">
        <v>136</v>
      </c>
      <c r="F10" s="7" t="s">
        <v>24</v>
      </c>
      <c r="G10" s="7" t="s">
        <v>26</v>
      </c>
      <c r="H10" s="7" t="s">
        <v>26</v>
      </c>
      <c r="I10" s="7" t="s">
        <v>39</v>
      </c>
      <c r="J10" s="5" t="s">
        <v>137</v>
      </c>
      <c r="K10" s="50" t="s">
        <v>41</v>
      </c>
      <c r="L10" s="7" t="s">
        <v>30</v>
      </c>
      <c r="M10" s="7" t="s">
        <v>29</v>
      </c>
      <c r="N10" s="7" t="s">
        <v>29</v>
      </c>
      <c r="O10" s="8" t="s">
        <v>135</v>
      </c>
      <c r="P10" s="49"/>
      <c r="Q10" s="47"/>
      <c r="R10" s="9"/>
      <c r="S10" s="9"/>
      <c r="T10" s="9"/>
      <c r="U10" s="9"/>
    </row>
    <row r="11" spans="1:21" ht="33" customHeight="1" x14ac:dyDescent="0.15">
      <c r="A11" s="50">
        <v>11</v>
      </c>
      <c r="B11" s="5" t="s">
        <v>23</v>
      </c>
      <c r="C11" s="57" t="s">
        <v>102</v>
      </c>
      <c r="D11" s="6" t="s">
        <v>116</v>
      </c>
      <c r="E11" s="14" t="s">
        <v>117</v>
      </c>
      <c r="F11" s="50" t="s">
        <v>32</v>
      </c>
      <c r="G11" s="50" t="s">
        <v>37</v>
      </c>
      <c r="H11" s="50" t="s">
        <v>37</v>
      </c>
      <c r="I11" s="50" t="s">
        <v>27</v>
      </c>
      <c r="J11" s="52"/>
      <c r="K11" s="7" t="s">
        <v>33</v>
      </c>
      <c r="L11" s="7" t="s">
        <v>29</v>
      </c>
      <c r="M11" s="7" t="s">
        <v>29</v>
      </c>
      <c r="N11" s="7" t="s">
        <v>29</v>
      </c>
      <c r="O11" s="12" t="s">
        <v>115</v>
      </c>
      <c r="P11" s="49"/>
      <c r="Q11" s="47"/>
      <c r="R11" s="9"/>
      <c r="S11" s="13"/>
      <c r="T11" s="13"/>
      <c r="U11" s="13"/>
    </row>
    <row r="12" spans="1:21" ht="49" customHeight="1" x14ac:dyDescent="0.15">
      <c r="A12" s="50">
        <v>12</v>
      </c>
      <c r="B12" s="5" t="s">
        <v>23</v>
      </c>
      <c r="C12" s="57" t="s">
        <v>103</v>
      </c>
      <c r="D12" s="6" t="s">
        <v>118</v>
      </c>
      <c r="E12" s="14" t="s">
        <v>119</v>
      </c>
      <c r="F12" s="50" t="s">
        <v>63</v>
      </c>
      <c r="G12" s="50" t="s">
        <v>25</v>
      </c>
      <c r="H12" s="50" t="s">
        <v>26</v>
      </c>
      <c r="I12" s="50" t="s">
        <v>67</v>
      </c>
      <c r="J12" s="52" t="s">
        <v>120</v>
      </c>
      <c r="K12" s="7" t="s">
        <v>41</v>
      </c>
      <c r="L12" s="7" t="s">
        <v>29</v>
      </c>
      <c r="M12" s="7" t="s">
        <v>29</v>
      </c>
      <c r="N12" s="7" t="s">
        <v>29</v>
      </c>
      <c r="O12" s="51"/>
      <c r="P12" s="49"/>
      <c r="Q12" s="47"/>
      <c r="R12" s="60"/>
      <c r="S12" s="13"/>
      <c r="T12" s="13"/>
      <c r="U12" s="13"/>
    </row>
    <row r="13" spans="1:21" ht="67.75" customHeight="1" x14ac:dyDescent="0.15">
      <c r="A13" s="50">
        <v>13</v>
      </c>
      <c r="B13" s="5" t="s">
        <v>23</v>
      </c>
      <c r="C13" s="57" t="s">
        <v>141</v>
      </c>
      <c r="D13" s="6" t="s">
        <v>142</v>
      </c>
      <c r="E13" s="14" t="s">
        <v>143</v>
      </c>
      <c r="F13" s="50" t="s">
        <v>63</v>
      </c>
      <c r="G13" s="50" t="s">
        <v>25</v>
      </c>
      <c r="H13" s="50" t="s">
        <v>26</v>
      </c>
      <c r="I13" s="50" t="s">
        <v>39</v>
      </c>
      <c r="J13" s="52" t="s">
        <v>144</v>
      </c>
      <c r="K13" s="7" t="s">
        <v>72</v>
      </c>
      <c r="L13" s="7" t="s">
        <v>29</v>
      </c>
      <c r="M13" s="7" t="s">
        <v>29</v>
      </c>
      <c r="N13" s="7" t="s">
        <v>29</v>
      </c>
      <c r="O13" s="12" t="s">
        <v>115</v>
      </c>
      <c r="P13" s="49"/>
      <c r="Q13" s="47"/>
      <c r="R13" s="9"/>
      <c r="S13" s="13"/>
      <c r="T13" s="13"/>
      <c r="U13" s="13"/>
    </row>
    <row r="14" spans="1:21" ht="77" customHeight="1" x14ac:dyDescent="0.15">
      <c r="A14" s="50">
        <v>14</v>
      </c>
      <c r="B14" s="5" t="s">
        <v>23</v>
      </c>
      <c r="C14" s="57" t="s">
        <v>145</v>
      </c>
      <c r="D14" s="6" t="s">
        <v>146</v>
      </c>
      <c r="E14" s="14" t="s">
        <v>147</v>
      </c>
      <c r="F14" s="50" t="s">
        <v>24</v>
      </c>
      <c r="G14" s="50" t="s">
        <v>25</v>
      </c>
      <c r="H14" s="50" t="s">
        <v>26</v>
      </c>
      <c r="I14" s="50" t="s">
        <v>39</v>
      </c>
      <c r="J14" s="52" t="s">
        <v>148</v>
      </c>
      <c r="K14" s="7" t="s">
        <v>72</v>
      </c>
      <c r="L14" s="7" t="s">
        <v>30</v>
      </c>
      <c r="M14" s="7" t="s">
        <v>30</v>
      </c>
      <c r="N14" s="7" t="s">
        <v>29</v>
      </c>
      <c r="O14" s="51"/>
      <c r="P14" s="49"/>
      <c r="Q14" s="47"/>
      <c r="R14" s="9"/>
      <c r="S14" s="13"/>
      <c r="T14" s="13"/>
      <c r="U14" s="13"/>
    </row>
    <row r="15" spans="1:21" ht="15" hidden="1" x14ac:dyDescent="0.15">
      <c r="A15" s="50"/>
      <c r="B15" s="5"/>
      <c r="C15" s="57"/>
      <c r="D15" s="6"/>
      <c r="E15" s="14"/>
      <c r="F15" s="50"/>
      <c r="G15" s="50"/>
      <c r="H15" s="50"/>
      <c r="I15" s="50"/>
      <c r="J15" s="52"/>
      <c r="K15" s="7"/>
      <c r="L15" s="7"/>
      <c r="M15" s="7"/>
      <c r="N15" s="7"/>
      <c r="O15" s="12"/>
      <c r="P15" s="49"/>
      <c r="Q15" s="47"/>
      <c r="R15" s="9"/>
      <c r="S15" s="13"/>
      <c r="T15" s="13"/>
      <c r="U15" s="13"/>
    </row>
    <row r="16" spans="1:21" ht="58.25" hidden="1" customHeight="1" x14ac:dyDescent="0.15">
      <c r="A16" s="50"/>
      <c r="B16" s="5"/>
      <c r="C16" s="57"/>
      <c r="D16" s="6"/>
      <c r="E16" s="14"/>
      <c r="F16" s="50"/>
      <c r="G16" s="50"/>
      <c r="H16" s="50"/>
      <c r="I16" s="50"/>
      <c r="J16" s="52"/>
      <c r="K16" s="7"/>
      <c r="L16" s="7"/>
      <c r="M16" s="7"/>
      <c r="N16" s="7"/>
      <c r="O16" s="56"/>
      <c r="P16" s="49"/>
      <c r="Q16" s="47"/>
      <c r="R16" s="9"/>
      <c r="S16" s="13"/>
      <c r="T16" s="13"/>
      <c r="U16" s="13"/>
    </row>
    <row r="17" spans="1:21" ht="15" hidden="1" x14ac:dyDescent="0.15">
      <c r="A17" s="50"/>
      <c r="B17" s="5"/>
      <c r="C17" s="57"/>
      <c r="D17" s="54"/>
      <c r="E17" s="14"/>
      <c r="F17" s="50"/>
      <c r="G17" s="50"/>
      <c r="H17" s="50"/>
      <c r="I17" s="50"/>
      <c r="J17" s="55"/>
      <c r="K17" s="7"/>
      <c r="L17" s="7"/>
      <c r="M17" s="7"/>
      <c r="N17" s="7"/>
      <c r="O17" s="12"/>
      <c r="P17" s="49"/>
      <c r="Q17" s="47"/>
      <c r="R17" s="9"/>
      <c r="S17" s="13"/>
      <c r="T17" s="13"/>
      <c r="U17" s="13"/>
    </row>
    <row r="18" spans="1:21" ht="15" hidden="1" x14ac:dyDescent="0.15">
      <c r="A18" s="50"/>
      <c r="B18" s="5"/>
      <c r="C18" s="57"/>
      <c r="D18" s="54"/>
      <c r="E18" s="14"/>
      <c r="F18" s="50"/>
      <c r="G18" s="50"/>
      <c r="H18" s="50"/>
      <c r="I18" s="50"/>
      <c r="J18" s="55"/>
      <c r="K18" s="7"/>
      <c r="L18" s="7"/>
      <c r="M18" s="7"/>
      <c r="N18" s="7"/>
      <c r="O18" s="12"/>
      <c r="P18" s="49"/>
      <c r="Q18" s="47"/>
      <c r="R18" s="9"/>
      <c r="S18" s="13"/>
      <c r="T18" s="13"/>
      <c r="U18" s="13"/>
    </row>
    <row r="19" spans="1:21" ht="70.25" hidden="1" customHeight="1" x14ac:dyDescent="0.15">
      <c r="A19" s="50"/>
      <c r="B19" s="5"/>
      <c r="C19" s="57"/>
      <c r="D19" s="54"/>
      <c r="E19" s="14"/>
      <c r="F19" s="50"/>
      <c r="G19" s="50"/>
      <c r="H19" s="50"/>
      <c r="I19" s="50"/>
      <c r="J19" s="11"/>
      <c r="K19" s="7"/>
      <c r="L19" s="7"/>
      <c r="M19" s="7"/>
      <c r="N19" s="7"/>
      <c r="O19" s="56"/>
      <c r="P19" s="49"/>
      <c r="Q19" s="47"/>
      <c r="R19" s="9"/>
      <c r="S19" s="13"/>
      <c r="T19" s="13"/>
      <c r="U19" s="13"/>
    </row>
    <row r="20" spans="1:21" ht="97.75" hidden="1" customHeight="1" x14ac:dyDescent="0.15">
      <c r="A20" s="50"/>
      <c r="B20" s="5"/>
      <c r="C20" s="57"/>
      <c r="D20" s="6"/>
      <c r="E20" s="14"/>
      <c r="F20" s="50"/>
      <c r="G20" s="50"/>
      <c r="H20" s="50"/>
      <c r="I20" s="50"/>
      <c r="J20" s="55"/>
      <c r="K20" s="7"/>
      <c r="L20" s="7"/>
      <c r="M20" s="7"/>
      <c r="N20" s="7"/>
      <c r="O20" s="12"/>
      <c r="P20" s="49"/>
      <c r="Q20" s="47"/>
      <c r="R20" s="9"/>
      <c r="S20" s="13"/>
      <c r="T20" s="13"/>
      <c r="U20" s="13"/>
    </row>
  </sheetData>
  <autoFilter ref="A2:U20" xr:uid="{1A8BF26D-EFDC-434D-BD19-57D98071B8FD}">
    <filterColumn colId="6">
      <customFilters>
        <customFilter operator="notEqual" val=" "/>
      </customFilters>
    </filterColumn>
  </autoFilter>
  <mergeCells count="2">
    <mergeCell ref="P1:U1"/>
    <mergeCell ref="A1:O1"/>
  </mergeCells>
  <hyperlinks>
    <hyperlink ref="O4" r:id="rId1" location="loiode231294f0181014bee4d19abcbf8501" xr:uid="{0EFF4844-3468-F444-B64A-FF41A19A8EAF}"/>
    <hyperlink ref="O11" r:id="rId2" xr:uid="{8EBBC1ED-487C-9047-87DF-C4ABB148D8EA}"/>
    <hyperlink ref="O7" r:id="rId3" location="item-view&amp;/151070" xr:uid="{5E815919-3AF1-D845-9D66-4053FDD5009F}"/>
    <hyperlink ref="O9" r:id="rId4" xr:uid="{EF569459-F476-9546-B797-90F80582AE5F}"/>
    <hyperlink ref="O10" r:id="rId5" xr:uid="{49546B81-F457-C742-8092-02BFCEE86E6F}"/>
    <hyperlink ref="O13" r:id="rId6" xr:uid="{705CF721-FF59-5E44-9F61-602A6352AD4A}"/>
  </hyperlinks>
  <pageMargins left="0.7" right="0.7" top="0.75" bottom="0.75" header="0.3" footer="0.3"/>
  <pageSetup paperSize="9" orientation="portrait" horizontalDpi="200" verticalDpi="200" r:id="rId7"/>
  <extLst>
    <ext xmlns:x14="http://schemas.microsoft.com/office/spreadsheetml/2009/9/main" uri="{CCE6A557-97BC-4b89-ADB6-D9C93CAAB3DF}">
      <x14:dataValidations xmlns:xm="http://schemas.microsoft.com/office/excel/2006/main" count="9">
        <x14:dataValidation type="list" allowBlank="1" showInputMessage="1" showErrorMessage="1" xr:uid="{5BA9179B-F830-4ED6-9DE1-0D8813A6ACEE}">
          <x14:formula1>
            <xm:f>Validations!#REF!</xm:f>
          </x14:formula1>
          <xm:sqref>P1:P2 Q2:R2 P21:P1048576 R21:R1048576 Q10:Q1048576</xm:sqref>
        </x14:dataValidation>
        <x14:dataValidation type="list" allowBlank="1" showInputMessage="1" showErrorMessage="1" xr:uid="{E846F75C-BBF2-492E-98D9-46C6F8DC98F2}">
          <x14:formula1>
            <xm:f>Validations!$B$26:$B$28</xm:f>
          </x14:formula1>
          <xm:sqref>G20 G3:H19 Q3:Q20</xm:sqref>
        </x14:dataValidation>
        <x14:dataValidation type="list" allowBlank="1" showInputMessage="1" showErrorMessage="1" xr:uid="{27F7EC70-695C-47B0-8706-943C3FC90467}">
          <x14:formula1>
            <xm:f>Validations!$B$31:$B$34</xm:f>
          </x14:formula1>
          <xm:sqref>I3:I20</xm:sqref>
        </x14:dataValidation>
        <x14:dataValidation type="list" allowBlank="1" showInputMessage="1" showErrorMessage="1" xr:uid="{C415A837-618F-400D-B193-F573470D13B5}">
          <x14:formula1>
            <xm:f>Validations!$B$21:$B$25</xm:f>
          </x14:formula1>
          <xm:sqref>F3:F20</xm:sqref>
        </x14:dataValidation>
        <x14:dataValidation type="list" allowBlank="1" showInputMessage="1" showErrorMessage="1" xr:uid="{EBEA10F8-9795-46FA-A3EA-2A2C4C341EF4}">
          <x14:formula1>
            <xm:f>Validations!$B$29:$B$30</xm:f>
          </x14:formula1>
          <xm:sqref>L3:N20</xm:sqref>
        </x14:dataValidation>
        <x14:dataValidation type="list" allowBlank="1" showInputMessage="1" showErrorMessage="1" xr:uid="{3743B68A-1DDD-48D4-B089-179E8253E098}">
          <x14:formula1>
            <xm:f>Validations!$B$36:$B$47</xm:f>
          </x14:formula1>
          <xm:sqref>K3:K20</xm:sqref>
        </x14:dataValidation>
        <x14:dataValidation type="list" allowBlank="1" showInputMessage="1" showErrorMessage="1" xr:uid="{0AB287B9-884D-4790-811A-E42E31069CD9}">
          <x14:formula1>
            <xm:f>Validations!$B$53:$B$57</xm:f>
          </x14:formula1>
          <xm:sqref>R3:R20</xm:sqref>
        </x14:dataValidation>
        <x14:dataValidation type="list" allowBlank="1" showInputMessage="1" showErrorMessage="1" xr:uid="{46102BC0-920E-4EFC-A6A9-0698BE4F4BEA}">
          <x14:formula1>
            <xm:f>Validations!$B$48:$B$52</xm:f>
          </x14:formula1>
          <xm:sqref>P3:Q20</xm:sqref>
        </x14:dataValidation>
        <x14:dataValidation type="list" allowBlank="1" showInputMessage="1" showErrorMessage="1" xr:uid="{CDB82F8B-03ED-4052-BAA4-C07BE1EE837D}">
          <x14:formula1>
            <xm:f>Validations!$B$2:$B$20</xm:f>
          </x14:formula1>
          <xm:sqref>B3:B20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291C4-FBB3-4EDA-957A-F0DC880C7C41}">
  <dimension ref="A1:B9"/>
  <sheetViews>
    <sheetView showGridLines="0" workbookViewId="0">
      <selection activeCell="B5" sqref="B5"/>
    </sheetView>
  </sheetViews>
  <sheetFormatPr baseColWidth="10" defaultColWidth="8.83203125" defaultRowHeight="14" x14ac:dyDescent="0.15"/>
  <cols>
    <col min="1" max="1" width="50.1640625" style="23" customWidth="1"/>
    <col min="2" max="2" width="63.83203125" style="23" bestFit="1" customWidth="1"/>
    <col min="3" max="16384" width="8.83203125" style="23"/>
  </cols>
  <sheetData>
    <row r="1" spans="1:2" ht="15" x14ac:dyDescent="0.2">
      <c r="A1" s="41" t="s">
        <v>83</v>
      </c>
      <c r="B1" s="42" t="s">
        <v>84</v>
      </c>
    </row>
    <row r="2" spans="1:2" ht="16" x14ac:dyDescent="0.15">
      <c r="A2" s="58" t="s">
        <v>92</v>
      </c>
      <c r="B2" s="48" t="s">
        <v>91</v>
      </c>
    </row>
    <row r="3" spans="1:2" ht="16" x14ac:dyDescent="0.15">
      <c r="A3" s="58" t="s">
        <v>93</v>
      </c>
      <c r="B3" s="48" t="s">
        <v>94</v>
      </c>
    </row>
    <row r="4" spans="1:2" ht="16" x14ac:dyDescent="0.15">
      <c r="A4" s="58" t="s">
        <v>95</v>
      </c>
      <c r="B4" s="48" t="s">
        <v>96</v>
      </c>
    </row>
    <row r="5" spans="1:2" ht="16" x14ac:dyDescent="0.15">
      <c r="A5" s="58" t="s">
        <v>97</v>
      </c>
      <c r="B5" s="48" t="s">
        <v>98</v>
      </c>
    </row>
    <row r="6" spans="1:2" x14ac:dyDescent="0.15">
      <c r="A6" s="43"/>
      <c r="B6" s="48"/>
    </row>
    <row r="7" spans="1:2" x14ac:dyDescent="0.15">
      <c r="A7" s="43"/>
      <c r="B7" s="43"/>
    </row>
    <row r="8" spans="1:2" x14ac:dyDescent="0.15">
      <c r="A8" s="43"/>
      <c r="B8" s="43"/>
    </row>
    <row r="9" spans="1:2" x14ac:dyDescent="0.15">
      <c r="A9" s="43"/>
      <c r="B9" s="43"/>
    </row>
  </sheetData>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DBC5-A401-4200-B7DA-FB672CE93AEE}">
  <dimension ref="A3:B7"/>
  <sheetViews>
    <sheetView showGridLines="0" zoomScale="150" workbookViewId="0">
      <selection activeCell="D38" sqref="D38"/>
    </sheetView>
  </sheetViews>
  <sheetFormatPr baseColWidth="10" defaultColWidth="8.83203125" defaultRowHeight="15" x14ac:dyDescent="0.2"/>
  <cols>
    <col min="1" max="1" width="12.1640625" bestFit="1" customWidth="1"/>
    <col min="2" max="2" width="26.6640625" bestFit="1" customWidth="1"/>
    <col min="3" max="3" width="6.83203125" bestFit="1" customWidth="1"/>
    <col min="4" max="4" width="10.83203125" bestFit="1" customWidth="1"/>
  </cols>
  <sheetData>
    <row r="3" spans="1:2" x14ac:dyDescent="0.2">
      <c r="A3" s="44" t="s">
        <v>85</v>
      </c>
      <c r="B3" t="s">
        <v>87</v>
      </c>
    </row>
    <row r="4" spans="1:2" x14ac:dyDescent="0.2">
      <c r="A4" s="45" t="s">
        <v>23</v>
      </c>
      <c r="B4" s="46">
        <v>10</v>
      </c>
    </row>
    <row r="5" spans="1:2" x14ac:dyDescent="0.2">
      <c r="A5" s="45" t="s">
        <v>60</v>
      </c>
      <c r="B5" s="46">
        <v>2</v>
      </c>
    </row>
    <row r="6" spans="1:2" x14ac:dyDescent="0.2">
      <c r="A6" s="45" t="s">
        <v>88</v>
      </c>
      <c r="B6" s="46"/>
    </row>
    <row r="7" spans="1:2" x14ac:dyDescent="0.2">
      <c r="A7" s="45" t="s">
        <v>86</v>
      </c>
      <c r="B7" s="46">
        <v>12</v>
      </c>
    </row>
  </sheetData>
  <pageMargins left="0.7" right="0.7" top="0.75" bottom="0.75" header="0.3" footer="0.3"/>
  <pageSetup paperSize="9" orientation="portrait" horizontalDpi="200" verticalDpi="20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9724A-2B64-4C67-AAB0-6494084851F6}">
  <dimension ref="A3:B8"/>
  <sheetViews>
    <sheetView showGridLines="0" workbookViewId="0">
      <selection activeCell="B6" sqref="B6"/>
    </sheetView>
  </sheetViews>
  <sheetFormatPr baseColWidth="10" defaultColWidth="8.83203125" defaultRowHeight="15" x14ac:dyDescent="0.2"/>
  <cols>
    <col min="1" max="1" width="14" bestFit="1" customWidth="1"/>
    <col min="2" max="2" width="30.33203125" bestFit="1" customWidth="1"/>
  </cols>
  <sheetData>
    <row r="3" spans="1:2" x14ac:dyDescent="0.2">
      <c r="A3" s="66" t="s">
        <v>85</v>
      </c>
      <c r="B3" s="67" t="s">
        <v>87</v>
      </c>
    </row>
    <row r="4" spans="1:2" x14ac:dyDescent="0.2">
      <c r="A4" s="68" t="s">
        <v>25</v>
      </c>
      <c r="B4" s="69">
        <v>5</v>
      </c>
    </row>
    <row r="5" spans="1:2" x14ac:dyDescent="0.2">
      <c r="A5" s="68" t="s">
        <v>26</v>
      </c>
      <c r="B5" s="69">
        <v>2</v>
      </c>
    </row>
    <row r="6" spans="1:2" x14ac:dyDescent="0.2">
      <c r="A6" s="68" t="s">
        <v>37</v>
      </c>
      <c r="B6" s="69">
        <v>5</v>
      </c>
    </row>
    <row r="7" spans="1:2" x14ac:dyDescent="0.2">
      <c r="A7" s="68" t="s">
        <v>88</v>
      </c>
      <c r="B7" s="69"/>
    </row>
    <row r="8" spans="1:2" x14ac:dyDescent="0.2">
      <c r="A8" s="68" t="s">
        <v>86</v>
      </c>
      <c r="B8" s="69">
        <v>12</v>
      </c>
    </row>
  </sheetData>
  <pageMargins left="0.7" right="0.7" top="0.75" bottom="0.75" header="0.3" footer="0.3"/>
  <pageSetup paperSize="9" orientation="portrait" horizontalDpi="200" verticalDpi="200"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1C135-49FE-4228-BF05-FB9BB8BE04EE}">
  <dimension ref="A3:B8"/>
  <sheetViews>
    <sheetView showGridLines="0" workbookViewId="0">
      <selection activeCell="K2" sqref="K2"/>
    </sheetView>
  </sheetViews>
  <sheetFormatPr baseColWidth="10" defaultColWidth="8.83203125" defaultRowHeight="15" x14ac:dyDescent="0.2"/>
  <cols>
    <col min="1" max="1" width="14" bestFit="1" customWidth="1"/>
    <col min="2" max="2" width="30.33203125" bestFit="1" customWidth="1"/>
  </cols>
  <sheetData>
    <row r="3" spans="1:2" x14ac:dyDescent="0.2">
      <c r="A3" s="66" t="s">
        <v>85</v>
      </c>
      <c r="B3" s="67" t="s">
        <v>87</v>
      </c>
    </row>
    <row r="4" spans="1:2" x14ac:dyDescent="0.2">
      <c r="A4" s="68" t="s">
        <v>27</v>
      </c>
      <c r="B4" s="69">
        <v>4</v>
      </c>
    </row>
    <row r="5" spans="1:2" x14ac:dyDescent="0.2">
      <c r="A5" s="68" t="s">
        <v>39</v>
      </c>
      <c r="B5" s="69">
        <v>4</v>
      </c>
    </row>
    <row r="6" spans="1:2" x14ac:dyDescent="0.2">
      <c r="A6" s="68" t="s">
        <v>67</v>
      </c>
      <c r="B6" s="69">
        <v>4</v>
      </c>
    </row>
    <row r="7" spans="1:2" x14ac:dyDescent="0.2">
      <c r="A7" s="68" t="s">
        <v>88</v>
      </c>
      <c r="B7" s="69"/>
    </row>
    <row r="8" spans="1:2" x14ac:dyDescent="0.2">
      <c r="A8" s="68" t="s">
        <v>86</v>
      </c>
      <c r="B8" s="69">
        <v>12</v>
      </c>
    </row>
  </sheetData>
  <pageMargins left="0.7" right="0.7" top="0.75" bottom="0.75" header="0.3" footer="0.3"/>
  <pageSetup paperSize="9" orientation="portrait" horizontalDpi="200" verticalDpi="20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3D618-73AC-4D5C-A910-BFAA6BE9AEF1}">
  <dimension ref="A1:B3"/>
  <sheetViews>
    <sheetView showGridLines="0" workbookViewId="0">
      <selection activeCell="N20" sqref="N20"/>
    </sheetView>
  </sheetViews>
  <sheetFormatPr baseColWidth="10" defaultColWidth="8.83203125" defaultRowHeight="15" x14ac:dyDescent="0.2"/>
  <cols>
    <col min="1" max="1" width="12.1640625" bestFit="1" customWidth="1"/>
    <col min="2" max="2" width="22.83203125" bestFit="1" customWidth="1"/>
  </cols>
  <sheetData>
    <row r="1" spans="1:2" x14ac:dyDescent="0.2">
      <c r="A1" s="44" t="s">
        <v>85</v>
      </c>
      <c r="B1" t="s">
        <v>89</v>
      </c>
    </row>
    <row r="2" spans="1:2" x14ac:dyDescent="0.2">
      <c r="A2" s="45" t="s">
        <v>88</v>
      </c>
      <c r="B2" s="46">
        <v>12</v>
      </c>
    </row>
    <row r="3" spans="1:2" x14ac:dyDescent="0.2">
      <c r="A3" s="45" t="s">
        <v>86</v>
      </c>
      <c r="B3" s="46">
        <v>12</v>
      </c>
    </row>
  </sheetData>
  <pageMargins left="0.7" right="0.7" top="0.75" bottom="0.75" header="0.3" footer="0.3"/>
  <pageSetup paperSize="9" orientation="portrait" horizontalDpi="200" verticalDpi="200"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6215D-8BAA-43A9-BCC7-83EA1B1EA542}">
  <dimension ref="A3:B5"/>
  <sheetViews>
    <sheetView showGridLines="0" workbookViewId="0">
      <selection activeCell="K26" sqref="K26"/>
    </sheetView>
  </sheetViews>
  <sheetFormatPr baseColWidth="10" defaultColWidth="8.83203125" defaultRowHeight="15" x14ac:dyDescent="0.2"/>
  <cols>
    <col min="1" max="1" width="12.5" bestFit="1" customWidth="1"/>
    <col min="2" max="2" width="28.83203125" bestFit="1" customWidth="1"/>
  </cols>
  <sheetData>
    <row r="3" spans="1:2" x14ac:dyDescent="0.2">
      <c r="A3" s="44" t="s">
        <v>85</v>
      </c>
      <c r="B3" t="s">
        <v>87</v>
      </c>
    </row>
    <row r="4" spans="1:2" x14ac:dyDescent="0.2">
      <c r="A4" s="45" t="s">
        <v>88</v>
      </c>
      <c r="B4" s="46">
        <v>12</v>
      </c>
    </row>
    <row r="5" spans="1:2" x14ac:dyDescent="0.2">
      <c r="A5" s="45" t="s">
        <v>86</v>
      </c>
      <c r="B5" s="46">
        <v>12</v>
      </c>
    </row>
  </sheetData>
  <pageMargins left="0.7" right="0.7" top="0.75" bottom="0.75" header="0.3" footer="0.3"/>
  <pageSetup paperSize="9" orientation="portrait" horizontalDpi="200" verticalDpi="200"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3C96D-011A-469A-A7D8-EC5899BDAD66}">
  <dimension ref="A3:B8"/>
  <sheetViews>
    <sheetView showGridLines="0" workbookViewId="0">
      <selection activeCell="A4" sqref="A4"/>
    </sheetView>
  </sheetViews>
  <sheetFormatPr baseColWidth="10" defaultColWidth="8.83203125" defaultRowHeight="15" x14ac:dyDescent="0.2"/>
  <cols>
    <col min="1" max="1" width="15" bestFit="1" customWidth="1"/>
    <col min="2" max="2" width="30.33203125" bestFit="1" customWidth="1"/>
  </cols>
  <sheetData>
    <row r="3" spans="1:2" x14ac:dyDescent="0.2">
      <c r="A3" s="66" t="s">
        <v>85</v>
      </c>
      <c r="B3" s="67" t="s">
        <v>87</v>
      </c>
    </row>
    <row r="4" spans="1:2" x14ac:dyDescent="0.2">
      <c r="A4" s="68" t="s">
        <v>24</v>
      </c>
      <c r="B4" s="69">
        <v>4</v>
      </c>
    </row>
    <row r="5" spans="1:2" x14ac:dyDescent="0.2">
      <c r="A5" s="68" t="s">
        <v>32</v>
      </c>
      <c r="B5" s="69">
        <v>4</v>
      </c>
    </row>
    <row r="6" spans="1:2" x14ac:dyDescent="0.2">
      <c r="A6" s="68" t="s">
        <v>63</v>
      </c>
      <c r="B6" s="69">
        <v>4</v>
      </c>
    </row>
    <row r="7" spans="1:2" x14ac:dyDescent="0.2">
      <c r="A7" s="68" t="s">
        <v>88</v>
      </c>
      <c r="B7" s="69"/>
    </row>
    <row r="8" spans="1:2" x14ac:dyDescent="0.2">
      <c r="A8" s="68" t="s">
        <v>86</v>
      </c>
      <c r="B8" s="69">
        <v>12</v>
      </c>
    </row>
  </sheetData>
  <pageMargins left="0.7" right="0.7" top="0.75" bottom="0.75" header="0.3" footer="0.3"/>
  <pageSetup paperSize="9" orientation="portrait" horizontalDpi="200" verticalDpi="200"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4A6FA-C304-457C-935B-11F5CA052E15}">
  <dimension ref="A1:B7"/>
  <sheetViews>
    <sheetView showGridLines="0" workbookViewId="0">
      <selection activeCell="B4" sqref="B4"/>
    </sheetView>
  </sheetViews>
  <sheetFormatPr baseColWidth="10" defaultColWidth="8.83203125" defaultRowHeight="15" x14ac:dyDescent="0.2"/>
  <cols>
    <col min="1" max="1" width="25" bestFit="1" customWidth="1"/>
    <col min="2" max="2" width="26.33203125" bestFit="1" customWidth="1"/>
  </cols>
  <sheetData>
    <row r="1" spans="1:2" x14ac:dyDescent="0.2">
      <c r="A1" s="44" t="s">
        <v>85</v>
      </c>
      <c r="B1" t="s">
        <v>87</v>
      </c>
    </row>
    <row r="2" spans="1:2" x14ac:dyDescent="0.2">
      <c r="A2" s="45" t="s">
        <v>72</v>
      </c>
      <c r="B2" s="46">
        <v>5</v>
      </c>
    </row>
    <row r="3" spans="1:2" x14ac:dyDescent="0.2">
      <c r="A3" s="45" t="s">
        <v>33</v>
      </c>
      <c r="B3" s="46">
        <v>4</v>
      </c>
    </row>
    <row r="4" spans="1:2" x14ac:dyDescent="0.2">
      <c r="A4" s="45" t="s">
        <v>41</v>
      </c>
      <c r="B4" s="46">
        <v>2</v>
      </c>
    </row>
    <row r="5" spans="1:2" x14ac:dyDescent="0.2">
      <c r="A5" s="45" t="s">
        <v>73</v>
      </c>
      <c r="B5" s="46">
        <v>1</v>
      </c>
    </row>
    <row r="6" spans="1:2" x14ac:dyDescent="0.2">
      <c r="A6" s="45" t="s">
        <v>88</v>
      </c>
      <c r="B6" s="46"/>
    </row>
    <row r="7" spans="1:2" x14ac:dyDescent="0.2">
      <c r="A7" s="45" t="s">
        <v>86</v>
      </c>
      <c r="B7" s="46">
        <v>12</v>
      </c>
    </row>
  </sheetData>
  <pageMargins left="0.7" right="0.7" top="0.75" bottom="0.75" header="0.3" footer="0.3"/>
  <pageSetup paperSize="9" orientation="portrait" horizontalDpi="200" verticalDpi="200"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0974A-32DC-4622-9462-114030BB2732}">
  <dimension ref="A1:B57"/>
  <sheetViews>
    <sheetView topLeftCell="A14" workbookViewId="0">
      <selection activeCell="E46" sqref="E46"/>
    </sheetView>
  </sheetViews>
  <sheetFormatPr baseColWidth="10" defaultColWidth="8.83203125" defaultRowHeight="14" x14ac:dyDescent="0.15"/>
  <cols>
    <col min="1" max="1" width="30.83203125" style="23" bestFit="1" customWidth="1"/>
    <col min="2" max="2" width="45.83203125" style="23" bestFit="1" customWidth="1"/>
    <col min="3" max="16384" width="8.83203125" style="23"/>
  </cols>
  <sheetData>
    <row r="1" spans="1:2" x14ac:dyDescent="0.15">
      <c r="A1" s="24" t="s">
        <v>43</v>
      </c>
      <c r="B1" s="24" t="s">
        <v>44</v>
      </c>
    </row>
    <row r="2" spans="1:2" x14ac:dyDescent="0.15">
      <c r="A2" s="25" t="s">
        <v>3</v>
      </c>
      <c r="B2" s="26" t="s">
        <v>45</v>
      </c>
    </row>
    <row r="3" spans="1:2" x14ac:dyDescent="0.15">
      <c r="A3" s="27"/>
      <c r="B3" s="26" t="s">
        <v>46</v>
      </c>
    </row>
    <row r="4" spans="1:2" x14ac:dyDescent="0.15">
      <c r="B4" s="26" t="s">
        <v>47</v>
      </c>
    </row>
    <row r="5" spans="1:2" x14ac:dyDescent="0.15">
      <c r="A5" s="28"/>
      <c r="B5" s="26" t="s">
        <v>48</v>
      </c>
    </row>
    <row r="6" spans="1:2" x14ac:dyDescent="0.15">
      <c r="A6" s="28"/>
      <c r="B6" s="26" t="s">
        <v>49</v>
      </c>
    </row>
    <row r="7" spans="1:2" x14ac:dyDescent="0.15">
      <c r="A7" s="28"/>
      <c r="B7" s="26" t="s">
        <v>50</v>
      </c>
    </row>
    <row r="8" spans="1:2" x14ac:dyDescent="0.15">
      <c r="A8" s="28"/>
      <c r="B8" s="26" t="s">
        <v>51</v>
      </c>
    </row>
    <row r="9" spans="1:2" x14ac:dyDescent="0.15">
      <c r="A9" s="28"/>
      <c r="B9" s="26" t="s">
        <v>52</v>
      </c>
    </row>
    <row r="10" spans="1:2" x14ac:dyDescent="0.15">
      <c r="A10" s="28"/>
      <c r="B10" s="26" t="s">
        <v>53</v>
      </c>
    </row>
    <row r="11" spans="1:2" x14ac:dyDescent="0.15">
      <c r="A11" s="26"/>
      <c r="B11" s="26" t="s">
        <v>54</v>
      </c>
    </row>
    <row r="12" spans="1:2" x14ac:dyDescent="0.15">
      <c r="A12" s="26"/>
      <c r="B12" s="26" t="s">
        <v>55</v>
      </c>
    </row>
    <row r="13" spans="1:2" x14ac:dyDescent="0.15">
      <c r="A13" s="26"/>
      <c r="B13" s="26" t="s">
        <v>56</v>
      </c>
    </row>
    <row r="14" spans="1:2" x14ac:dyDescent="0.15">
      <c r="A14" s="26"/>
      <c r="B14" s="26" t="s">
        <v>57</v>
      </c>
    </row>
    <row r="15" spans="1:2" x14ac:dyDescent="0.15">
      <c r="A15" s="26"/>
      <c r="B15" s="26" t="s">
        <v>58</v>
      </c>
    </row>
    <row r="16" spans="1:2" x14ac:dyDescent="0.15">
      <c r="A16" s="26"/>
      <c r="B16" s="26" t="s">
        <v>23</v>
      </c>
    </row>
    <row r="17" spans="1:2" x14ac:dyDescent="0.15">
      <c r="A17" s="26"/>
      <c r="B17" s="26" t="s">
        <v>59</v>
      </c>
    </row>
    <row r="18" spans="1:2" x14ac:dyDescent="0.15">
      <c r="A18" s="26"/>
      <c r="B18" s="26" t="s">
        <v>60</v>
      </c>
    </row>
    <row r="19" spans="1:2" x14ac:dyDescent="0.15">
      <c r="A19" s="26"/>
      <c r="B19" s="26" t="s">
        <v>61</v>
      </c>
    </row>
    <row r="20" spans="1:2" x14ac:dyDescent="0.15">
      <c r="A20" s="29"/>
      <c r="B20" s="26" t="s">
        <v>62</v>
      </c>
    </row>
    <row r="21" spans="1:2" x14ac:dyDescent="0.15">
      <c r="A21" s="25" t="s">
        <v>7</v>
      </c>
      <c r="B21" s="30" t="s">
        <v>24</v>
      </c>
    </row>
    <row r="22" spans="1:2" x14ac:dyDescent="0.15">
      <c r="A22" s="26"/>
      <c r="B22" s="26" t="s">
        <v>40</v>
      </c>
    </row>
    <row r="23" spans="1:2" x14ac:dyDescent="0.15">
      <c r="A23" s="26"/>
      <c r="B23" s="26" t="s">
        <v>32</v>
      </c>
    </row>
    <row r="24" spans="1:2" x14ac:dyDescent="0.15">
      <c r="A24" s="26"/>
      <c r="B24" s="26" t="s">
        <v>63</v>
      </c>
    </row>
    <row r="25" spans="1:2" x14ac:dyDescent="0.15">
      <c r="A25" s="29"/>
      <c r="B25" s="29" t="s">
        <v>64</v>
      </c>
    </row>
    <row r="26" spans="1:2" x14ac:dyDescent="0.15">
      <c r="A26" s="25" t="s">
        <v>65</v>
      </c>
      <c r="B26" s="31" t="s">
        <v>37</v>
      </c>
    </row>
    <row r="27" spans="1:2" x14ac:dyDescent="0.15">
      <c r="A27" s="26"/>
      <c r="B27" s="32" t="s">
        <v>26</v>
      </c>
    </row>
    <row r="28" spans="1:2" x14ac:dyDescent="0.15">
      <c r="A28" s="29"/>
      <c r="B28" s="33" t="s">
        <v>25</v>
      </c>
    </row>
    <row r="29" spans="1:2" x14ac:dyDescent="0.15">
      <c r="A29" s="34" t="s">
        <v>66</v>
      </c>
      <c r="B29" s="31" t="s">
        <v>30</v>
      </c>
    </row>
    <row r="30" spans="1:2" x14ac:dyDescent="0.15">
      <c r="A30" s="35"/>
      <c r="B30" s="33" t="s">
        <v>29</v>
      </c>
    </row>
    <row r="31" spans="1:2" x14ac:dyDescent="0.15">
      <c r="A31" s="34" t="s">
        <v>10</v>
      </c>
      <c r="B31" s="31" t="s">
        <v>27</v>
      </c>
    </row>
    <row r="32" spans="1:2" x14ac:dyDescent="0.15">
      <c r="A32" s="36"/>
      <c r="B32" s="32" t="s">
        <v>39</v>
      </c>
    </row>
    <row r="33" spans="1:2" x14ac:dyDescent="0.15">
      <c r="A33" s="37"/>
      <c r="B33" s="32" t="s">
        <v>35</v>
      </c>
    </row>
    <row r="34" spans="1:2" x14ac:dyDescent="0.15">
      <c r="A34" s="37"/>
      <c r="B34" s="32" t="s">
        <v>67</v>
      </c>
    </row>
    <row r="35" spans="1:2" x14ac:dyDescent="0.15">
      <c r="A35" s="37"/>
      <c r="B35" s="32" t="s">
        <v>90</v>
      </c>
    </row>
    <row r="36" spans="1:2" x14ac:dyDescent="0.15">
      <c r="A36" s="25" t="s">
        <v>68</v>
      </c>
      <c r="B36" s="31" t="s">
        <v>69</v>
      </c>
    </row>
    <row r="37" spans="1:2" x14ac:dyDescent="0.15">
      <c r="A37" s="26"/>
      <c r="B37" s="32" t="s">
        <v>41</v>
      </c>
    </row>
    <row r="38" spans="1:2" x14ac:dyDescent="0.15">
      <c r="A38" s="26"/>
      <c r="B38" s="32" t="s">
        <v>70</v>
      </c>
    </row>
    <row r="39" spans="1:2" x14ac:dyDescent="0.15">
      <c r="A39" s="26"/>
      <c r="B39" s="32" t="s">
        <v>71</v>
      </c>
    </row>
    <row r="40" spans="1:2" x14ac:dyDescent="0.15">
      <c r="A40" s="26"/>
      <c r="B40" s="32" t="s">
        <v>38</v>
      </c>
    </row>
    <row r="41" spans="1:2" x14ac:dyDescent="0.15">
      <c r="A41" s="26"/>
      <c r="B41" s="32" t="s">
        <v>36</v>
      </c>
    </row>
    <row r="42" spans="1:2" x14ac:dyDescent="0.15">
      <c r="A42" s="26"/>
      <c r="B42" s="32" t="s">
        <v>72</v>
      </c>
    </row>
    <row r="43" spans="1:2" x14ac:dyDescent="0.15">
      <c r="A43" s="26"/>
      <c r="B43" s="32" t="s">
        <v>73</v>
      </c>
    </row>
    <row r="44" spans="1:2" x14ac:dyDescent="0.15">
      <c r="A44" s="26"/>
      <c r="B44" s="32" t="s">
        <v>74</v>
      </c>
    </row>
    <row r="45" spans="1:2" x14ac:dyDescent="0.15">
      <c r="A45" s="26"/>
      <c r="B45" s="32" t="s">
        <v>28</v>
      </c>
    </row>
    <row r="46" spans="1:2" x14ac:dyDescent="0.15">
      <c r="A46" s="26"/>
      <c r="B46" s="32" t="s">
        <v>34</v>
      </c>
    </row>
    <row r="47" spans="1:2" x14ac:dyDescent="0.15">
      <c r="A47" s="29"/>
      <c r="B47" s="33" t="s">
        <v>33</v>
      </c>
    </row>
    <row r="48" spans="1:2" x14ac:dyDescent="0.15">
      <c r="A48" s="25" t="s">
        <v>18</v>
      </c>
      <c r="B48" s="38" t="s">
        <v>75</v>
      </c>
    </row>
    <row r="49" spans="1:2" x14ac:dyDescent="0.15">
      <c r="A49" s="26"/>
      <c r="B49" s="39" t="s">
        <v>31</v>
      </c>
    </row>
    <row r="50" spans="1:2" x14ac:dyDescent="0.15">
      <c r="A50" s="26"/>
      <c r="B50" s="39" t="s">
        <v>42</v>
      </c>
    </row>
    <row r="51" spans="1:2" x14ac:dyDescent="0.15">
      <c r="A51" s="26"/>
      <c r="B51" s="39" t="s">
        <v>76</v>
      </c>
    </row>
    <row r="52" spans="1:2" x14ac:dyDescent="0.15">
      <c r="A52" s="29"/>
      <c r="B52" s="40" t="s">
        <v>77</v>
      </c>
    </row>
    <row r="53" spans="1:2" x14ac:dyDescent="0.15">
      <c r="A53" s="25" t="s">
        <v>19</v>
      </c>
      <c r="B53" s="38" t="s">
        <v>78</v>
      </c>
    </row>
    <row r="54" spans="1:2" x14ac:dyDescent="0.15">
      <c r="A54" s="26"/>
      <c r="B54" s="39" t="s">
        <v>79</v>
      </c>
    </row>
    <row r="55" spans="1:2" x14ac:dyDescent="0.15">
      <c r="A55" s="26"/>
      <c r="B55" s="39" t="s">
        <v>80</v>
      </c>
    </row>
    <row r="56" spans="1:2" x14ac:dyDescent="0.15">
      <c r="A56" s="26"/>
      <c r="B56" s="39" t="s">
        <v>81</v>
      </c>
    </row>
    <row r="57" spans="1:2" x14ac:dyDescent="0.15">
      <c r="A57" s="29"/>
      <c r="B57" s="40" t="s">
        <v>82</v>
      </c>
    </row>
  </sheetData>
  <pageMargins left="0.7" right="0.7" top="0.75" bottom="0.75" header="0.3" footer="0.3"/>
  <pageSetup paperSize="9" orientation="portrait" horizontalDpi="200" verticalDpi="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diaLengthInSeconds xmlns="632f2757-4f8c-42a4-b0a5-6fafd9ebd288" xsi:nil="true"/>
    <lcf76f155ced4ddcb4097134ff3c332f xmlns="632f2757-4f8c-42a4-b0a5-6fafd9ebd288">
      <Terms xmlns="http://schemas.microsoft.com/office/infopath/2007/PartnerControls"/>
    </lcf76f155ced4ddcb4097134ff3c332f>
    <TaxCatchAll xmlns="795b2ec1-0032-4e25-8a62-f25a733ca003"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B70845B919710459B8A5AD2152501B9" ma:contentTypeVersion="23" ma:contentTypeDescription="Create a new document." ma:contentTypeScope="" ma:versionID="41e4b956a02b699389286ce4615dfaf2">
  <xsd:schema xmlns:xsd="http://www.w3.org/2001/XMLSchema" xmlns:xs="http://www.w3.org/2001/XMLSchema" xmlns:p="http://schemas.microsoft.com/office/2006/metadata/properties" xmlns:ns1="http://schemas.microsoft.com/sharepoint/v3" xmlns:ns2="632f2757-4f8c-42a4-b0a5-6fafd9ebd288" xmlns:ns3="795b2ec1-0032-4e25-8a62-f25a733ca003" targetNamespace="http://schemas.microsoft.com/office/2006/metadata/properties" ma:root="true" ma:fieldsID="afd125bed2499d092c6263bda55a6ed9" ns1:_="" ns2:_="" ns3:_="">
    <xsd:import namespace="http://schemas.microsoft.com/sharepoint/v3"/>
    <xsd:import namespace="632f2757-4f8c-42a4-b0a5-6fafd9ebd288"/>
    <xsd:import namespace="795b2ec1-0032-4e25-8a62-f25a733ca00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3:TaxCatchAll" minOccurs="0"/>
                <xsd:element ref="ns2:lcf76f155ced4ddcb4097134ff3c332f"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32f2757-4f8c-42a4-b0a5-6fafd9ebd2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95b2ec1-0032-4e25-8a62-f25a733ca00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55838b5f-05bc-4014-afb7-53b9f6b7efea}" ma:internalName="TaxCatchAll" ma:showField="CatchAllData" ma:web="795b2ec1-0032-4e25-8a62-f25a733ca00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31F3D1-C8B0-4E4F-A3FC-DDA2410E929D}">
  <ds:schemaRefs>
    <ds:schemaRef ds:uri="http://schemas.microsoft.com/office/2006/metadata/properties"/>
    <ds:schemaRef ds:uri="http://schemas.microsoft.com/office/2006/documentManagement/types"/>
    <ds:schemaRef ds:uri="632f2757-4f8c-42a4-b0a5-6fafd9ebd288"/>
    <ds:schemaRef ds:uri="795b2ec1-0032-4e25-8a62-f25a733ca003"/>
    <ds:schemaRef ds:uri="http://www.w3.org/XML/1998/namespace"/>
    <ds:schemaRef ds:uri="http://schemas.openxmlformats.org/package/2006/metadata/core-properties"/>
    <ds:schemaRef ds:uri="http://purl.org/dc/elements/1.1/"/>
    <ds:schemaRef ds:uri="http://schemas.microsoft.com/office/infopath/2007/PartnerControls"/>
    <ds:schemaRef ds:uri="http://purl.org/dc/dcmitype/"/>
    <ds:schemaRef ds:uri="http://purl.org/dc/terms/"/>
  </ds:schemaRefs>
</ds:datastoreItem>
</file>

<file path=customXml/itemProps2.xml><?xml version="1.0" encoding="utf-8"?>
<ds:datastoreItem xmlns:ds="http://schemas.openxmlformats.org/officeDocument/2006/customXml" ds:itemID="{C07461AA-B108-409C-B772-216611CE0261}">
  <ds:schemaRefs>
    <ds:schemaRef ds:uri="http://schemas.microsoft.com/sharepoint/v3/contenttype/forms"/>
  </ds:schemaRefs>
</ds:datastoreItem>
</file>

<file path=customXml/itemProps3.xml><?xml version="1.0" encoding="utf-8"?>
<ds:datastoreItem xmlns:ds="http://schemas.openxmlformats.org/officeDocument/2006/customXml" ds:itemID="{45471673-CC8E-403F-BFD1-B6B2006FB2AC}"/>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Observations</vt:lpstr>
      <vt:lpstr>Attachments</vt:lpstr>
      <vt:lpstr>Solution</vt:lpstr>
      <vt:lpstr>Impact</vt:lpstr>
      <vt:lpstr>Timeline</vt:lpstr>
      <vt:lpstr>Owner</vt:lpstr>
      <vt:lpstr>Priority</vt:lpstr>
      <vt:lpstr>Category</vt:lpstr>
      <vt:lpstr>12KeysToSucess</vt:lpstr>
      <vt:lpstr>Validations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Fontes, Ricardo</dc:creator>
  <cp:lastModifiedBy>Martinez, Giancarlo</cp:lastModifiedBy>
  <dcterms:created xsi:type="dcterms:W3CDTF">2019-08-05T19:57:54Z</dcterms:created>
  <dcterms:modified xsi:type="dcterms:W3CDTF">2022-01-31T17:28:30Z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0x010100BB70845B919710459B8A5AD2152501B9</vt:lpwstr>
  </property>
  <property fmtid="{D5CDD505-2E9C-101B-9397-08002B2CF9AE}" pid="3" name="Order">
    <vt:r8>31300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ies>
</file>